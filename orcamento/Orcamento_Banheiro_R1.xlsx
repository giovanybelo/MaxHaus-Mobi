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e2b20fcfe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25f737039314ef0"/>
    <x:sheet xmlns:r="http://schemas.openxmlformats.org/officeDocument/2006/relationships" name="Orcamento" sheetId="2" r:id="R618fbb8d66694ce0"/>
    <x:sheet xmlns:r="http://schemas.openxmlformats.org/officeDocument/2006/relationships" name="Quantidades" sheetId="3" r:id="Rd6d0ccb504ee4c2a"/>
    <x:sheet xmlns:r="http://schemas.openxmlformats.org/officeDocument/2006/relationships" name="Paredes" sheetId="4" r:id="R5aaaf7656b944f7a"/>
    <x:sheet xmlns:r="http://schemas.openxmlformats.org/officeDocument/2006/relationships" name="Premissas" sheetId="5" r:id="R172811d842264a8f"/>
    <x:sheet xmlns:r="http://schemas.openxmlformats.org/officeDocument/2006/relationships" name="Comparacao PB" sheetId="6" r:id="R7744141fa9c7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00"/>
    <x:numFmt numFmtId="202" formatCode="0%"/>
    <x:numFmt numFmtId="203" formatCode="0.00"/>
    <x:numFmt numFmtId="204" formatCode="&quot;R$ &quot;#,##0.00"/>
  </x:numFmts>
  <x:fonts count="4">
    <x:font>
      <x:sz val="11"/>
      <x:name val="Carlito"/>
    </x:font>
    <x:font>
      <x:b/>
      <x:sz val="18"/>
      <x:color rgb="FF17394E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94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0" fillId="2" borderId="0" xfId="0" applyNumberFormat="1" applyFont="1" applyFill="1" applyBorder="1"/>
    <x:xf numFmtId="204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26543592b41cf" /><Relationship Type="http://schemas.openxmlformats.org/officeDocument/2006/relationships/theme" Target="/xl/theme/theme1.xml" Id="R475676f9fbb44b9e" /><Relationship Type="http://schemas.openxmlformats.org/officeDocument/2006/relationships/sharedStrings" Target="/xl/sharedStrings.xml" Id="R3f67f5f0ffce4949" /><Relationship Type="http://schemas.openxmlformats.org/officeDocument/2006/relationships/worksheet" Target="/xl/worksheets/sheet1.xml" Id="R725f737039314ef0" /><Relationship Type="http://schemas.openxmlformats.org/officeDocument/2006/relationships/worksheet" Target="/xl/worksheets/sheet2.xml" Id="R618fbb8d66694ce0" /><Relationship Type="http://schemas.openxmlformats.org/officeDocument/2006/relationships/worksheet" Target="/xl/worksheets/sheet3.xml" Id="Rd6d0ccb504ee4c2a" /><Relationship Type="http://schemas.openxmlformats.org/officeDocument/2006/relationships/worksheet" Target="/xl/worksheets/sheet4.xml" Id="R5aaaf7656b944f7a" /><Relationship Type="http://schemas.openxmlformats.org/officeDocument/2006/relationships/worksheet" Target="/xl/worksheets/sheet5.xml" Id="R172811d842264a8f" /><Relationship Type="http://schemas.openxmlformats.org/officeDocument/2006/relationships/worksheet" Target="/xl/worksheets/sheet6.xml" Id="R7744141fa9c743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8" hidden="0" customWidth="1"/>
    <x:col min="2" max="2" width="22" hidden="0" customWidth="1"/>
  </x:cols>
  <x:sheetData>
    <x:row r="1">
      <x:c r="A1" s="1" t="str">
        <x:v>Banheiro | materiais e peças</x:v>
      </x:c>
    </x:row>
    <x:row r="2">
      <x:c r="A2" t="str">
        <x:v>MAXHAUS | R1 | 25/10/2026 | valores em R$ | conferir em obra</x:v>
      </x:c>
    </x:row>
    <x:row r="4" ht="30" customHeight="1">
      <x:c r="A4" s="4" t="str">
        <x:v>Categoria</x:v>
      </x:c>
      <x:c r="B4" s="4" t="str">
        <x:v>Total R$</x:v>
      </x:c>
    </x:row>
    <x:row r="5">
      <x:c r="A5" t="str">
        <x:v>Revestimentos</x:v>
      </x:c>
      <x:c r="B5" s="14" t="n">
        <x:f>SUMIF(Orcamento!A5:A40,A5,Orcamento!F5:F40)</x:f>
        <x:v>9978.63</x:v>
      </x:c>
    </x:row>
    <x:row r="6">
      <x:c r="A6" t="str">
        <x:v>Louças e metais</x:v>
      </x:c>
      <x:c r="B6" s="14" t="n">
        <x:f>SUMIF(Orcamento!A5:A40,A6,Orcamento!F5:F40)</x:f>
        <x:v>8060.219999999999</x:v>
      </x:c>
    </x:row>
    <x:row r="7">
      <x:c r="A7" t="str">
        <x:v>Ralos e esgoto</x:v>
      </x:c>
      <x:c r="B7" s="14" t="n">
        <x:f>SUMIF(Orcamento!A5:A40,A7,Orcamento!F5:F40)</x:f>
        <x:v>1173</x:v>
      </x:c>
    </x:row>
    <x:row r="8">
      <x:c r="A8" t="str">
        <x:v>Água quente/fria</x:v>
      </x:c>
      <x:c r="B8" s="14" t="n">
        <x:f>SUMIF(Orcamento!A5:A40,A8,Orcamento!F5:F40)</x:f>
        <x:v>812</x:v>
      </x:c>
    </x:row>
    <x:row r="9">
      <x:c r="A9" t="str">
        <x:v>Subtotal</x:v>
      </x:c>
      <x:c r="B9" s="14" t="n">
        <x:f>SUM(B5:B8)</x:f>
        <x:v>20023.85</x:v>
      </x:c>
    </x:row>
    <x:row r="10">
      <x:c r="A10" t="str">
        <x:v>Contingência</x:v>
      </x:c>
      <x:c r="B10" s="12" t="n">
        <x:v>0.15</x:v>
      </x:c>
    </x:row>
    <x:row r="11">
      <x:c r="A11" t="str">
        <x:v>Reserva financeira R$</x:v>
      </x:c>
      <x:c r="B11" s="14" t="n">
        <x:f>B9*B10</x:f>
        <x:v>3003.5775</x:v>
      </x:c>
    </x:row>
    <x:row r="12" ht="32" customHeight="1">
      <x:c r="A12" s="3" t="str">
        <x:v>Total com contingência</x:v>
      </x:c>
      <x:c r="B12" s="16" t="n">
        <x:f>B9+B11</x:f>
        <x:v>23027.427499999998</x:v>
      </x:c>
    </x:row>
    <x:row r="14" ht="34" customHeight="1">
      <x:c r="A14" s="8" t="str">
        <x:v>Excluídos: piso/impermeabilização, elétrica/iluminação, mão de obra e gestão/logística.</x:v>
      </x:c>
      <x:c r="B14" s="8"/>
    </x:row>
    <x:row r="15" ht="34" customHeight="1">
      <x:c r="A15" s="8" t="str">
        <x:v>Reserva de 15% apresentada à parte; não é custo contratado.</x:v>
      </x:c>
      <x:c r="B15" s="8"/>
    </x:row>
    <x:row r="18">
      <x:c r="A18" t="str">
        <x:v>Preço cotado = apenas Bleu Nuit; demais preços: web, referência ou estimativa.</x:v>
      </x:c>
    </x:row>
    <x:row r="19">
      <x:c r="A19" t="str">
        <x:v>Orçamento restrito ao banheiro. Hídrica/cozinha excluído.</x:v>
      </x:c>
    </x:row>
    <x:row r="20">
      <x:c r="A20" t="str">
        <x:v>Especificações do projeto preservadas; esta revisão altera somente o orçamento.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54" hidden="0" customWidth="1"/>
    <x:col min="3" max="3" width="8" hidden="0" customWidth="1"/>
    <x:col min="4" max="4" width="14" hidden="0" customWidth="1"/>
    <x:col min="5" max="5" width="14" hidden="0" customWidth="1"/>
    <x:col min="6" max="6" width="16" hidden="0" customWidth="1"/>
    <x:col min="7" max="7" width="17" hidden="0" customWidth="1"/>
    <x:col min="8" max="8" width="70" hidden="0" customWidth="1"/>
    <x:col min="9" max="9" width="65" hidden="0" customWidth="1"/>
  </x:cols>
  <x:sheetData>
    <x:row r="1">
      <x:c r="A1" s="1" t="str">
        <x:v>Orçamento detalhado</x:v>
      </x:c>
    </x:row>
    <x:row r="2">
      <x:c r="A2" t="str">
        <x:v>MAXHAUS | R1 | 25/10/2026 | valores em R$ | conferir em obra</x:v>
      </x:c>
    </x:row>
    <x:row r="4" ht="30" customHeight="1">
      <x:c r="A4" s="4" t="str">
        <x:v>Grupo</x:v>
      </x:c>
      <x:c r="B4" s="4" t="str">
        <x:v>Item</x:v>
      </x:c>
      <x:c r="C4" s="4" t="str">
        <x:v>Un.</x:v>
      </x:c>
      <x:c r="D4" s="4" t="str">
        <x:v>Quantidade</x:v>
      </x:c>
      <x:c r="E4" s="4" t="str">
        <x:v>R$/un.</x:v>
      </x:c>
      <x:c r="F4" s="4" t="str">
        <x:v>Total R$</x:v>
      </x:c>
      <x:c r="G4" s="4" t="str">
        <x:v>Origem preço</x:v>
      </x:c>
      <x:c r="H4" s="4" t="str">
        <x:v>Critério / pendência</x:v>
      </x:c>
      <x:c r="I4" s="4" t="str">
        <x:v>Fonte</x:v>
      </x:c>
    </x:row>
    <x:row r="5" ht="62" customHeight="1">
      <x:c r="A5" s="8" t="str">
        <x:v>Revestimentos</x:v>
      </x:c>
      <x:c r="B5" s="8" t="str">
        <x:v>Gouache Bleu Nuit 7,5x15,5 BR BOLD</x:v>
      </x:c>
      <x:c r="C5" s="8" t="str">
        <x:v>cx</x:v>
      </x:c>
      <x:c r="D5" s="9" t="n">
        <x:f>Quantidades!E5</x:f>
        <x:v>70</x:v>
      </x:c>
      <x:c r="E5" s="9" t="n">
        <x:v>101.997</x:v>
      </x:c>
      <x:c r="F5" s="10" t="n">
        <x:f>ROUND(D5*E5,2)</x:f>
        <x:v>7139.79</x:v>
      </x:c>
      <x:c r="G5" s="8" t="str">
        <x:v>Cotado</x:v>
      </x:c>
      <x:c r="H5" s="8" t="str">
        <x:v>1632 peças de origem + 10%; 26 peças / 0,30 m² por caixa. Nuage: preço provisório igual ao Bleu; cotar.</x:v>
      </x:c>
      <x:c r="I5" s="8" t="str">
        <x:v>Proposta Portobello 05310148, 13/10/2026, arquivo sem sufixo; validade 31/10/2026</x:v>
      </x:c>
    </x:row>
    <x:row r="6" ht="62" customHeight="1">
      <x:c r="A6" s="8" t="str">
        <x:v>Revestimentos</x:v>
      </x:c>
      <x:c r="B6" s="8" t="str">
        <x:v>Gouache Nuage 7,5x15,5 BR BOLD</x:v>
      </x:c>
      <x:c r="C6" s="8" t="str">
        <x:v>cx</x:v>
      </x:c>
      <x:c r="D6" s="9" t="n">
        <x:f>Quantidades!E6</x:f>
        <x:v>7</x:v>
      </x:c>
      <x:c r="E6" s="9" t="n">
        <x:v>101.997</x:v>
      </x:c>
      <x:c r="F6" s="10" t="n">
        <x:f>ROUND(D6*E6,2)</x:f>
        <x:v>713.98</x:v>
      </x:c>
      <x:c r="G6" s="8" t="str">
        <x:v>Estimativa</x:v>
      </x:c>
      <x:c r="H6" s="8" t="str">
        <x:v>152 peças de origem + 10%; 26 peças / 0,30 m² por caixa. Nuage: preço provisório igual ao Bleu; cotar.</x:v>
      </x:c>
      <x:c r="I6" s="8" t="str">
        <x:v>Proposta Portobello 05310148, 13/10/2026, arquivo sem sufixo; validade 31/10/2026</x:v>
      </x:c>
    </x:row>
    <x:row r="7" ht="62" customHeight="1">
      <x:c r="A7" s="8" t="str">
        <x:v>Revestimentos</x:v>
      </x:c>
      <x:c r="B7" s="8" t="str">
        <x:v>Rejunte acrílico Pleno paredes, cor a aprovar</x:v>
      </x:c>
      <x:c r="C7" s="8" t="str">
        <x:v>kg</x:v>
      </x:c>
      <x:c r="D7" s="9" t="n">
        <x:v>13</x:v>
      </x:c>
      <x:c r="E7" s="9" t="n">
        <x:v>89.99</x:v>
      </x:c>
      <x:c r="F7" s="10" t="n">
        <x:f>ROUND(D7*E7,2)</x:f>
        <x:v>1169.87</x:v>
      </x:c>
      <x:c r="G7" s="8" t="str">
        <x:v>Referência</x:v>
      </x:c>
      <x:c r="H7" s="8" t="str">
        <x:v>Preço do Dansk na proposta; cor Moon sugerida no catálogo. Azul escuro exige amostra/aprovação.</x:v>
      </x:c>
      <x:c r="I7" s="8" t="str">
        <x:v>Proposta Portobello 05310148, 13/10/2026, arquivo sem sufixo; validade 31/10/2026</x:v>
      </x:c>
    </x:row>
    <x:row r="8" ht="62" customHeight="1">
      <x:c r="A8" s="8" t="str">
        <x:v>Revestimentos</x:v>
      </x:c>
      <x:c r="B8" s="8" t="str">
        <x:v>Rejunte acrílico Pleno Blanc bancada</x:v>
      </x:c>
      <x:c r="C8" s="8" t="str">
        <x:v>kg</x:v>
      </x:c>
      <x:c r="D8" s="9" t="n">
        <x:v>1</x:v>
      </x:c>
      <x:c r="E8" s="9" t="n">
        <x:v>89.99</x:v>
      </x:c>
      <x:c r="F8" s="10" t="n">
        <x:f>ROUND(D8*E8,2)</x:f>
        <x:v>89.99</x:v>
      </x:c>
      <x:c r="G8" s="8" t="str">
        <x:v>Referência</x:v>
      </x:c>
      <x:c r="H8" s="8" t="str">
        <x:v>Preço de outra cor; confirmar preço Blanc e adequação ao tampo.</x:v>
      </x:c>
      <x:c r="I8" s="8" t="str">
        <x:v>Proposta Portobello 05310148, 13/10/2026, arquivo sem sufixo; validade 31/10/2026</x:v>
      </x:c>
    </x:row>
    <x:row r="9" ht="62" customHeight="1">
      <x:c r="A9" s="8" t="str">
        <x:v>Revestimentos</x:v>
      </x:c>
      <x:c r="B9" s="8" t="str">
        <x:v>Argamassa colante compatível, saco 20 kg</x:v>
      </x:c>
      <x:c r="C9" s="8" t="str">
        <x:v>saco</x:v>
      </x:c>
      <x:c r="D9" s="9" t="n">
        <x:v>5</x:v>
      </x:c>
      <x:c r="E9" s="9" t="n">
        <x:v>65</x:v>
      </x:c>
      <x:c r="F9" s="10" t="n">
        <x:f>ROUND(D9*E9,2)</x:f>
        <x:v>325</x:v>
      </x:c>
      <x:c r="G9" s="8" t="str">
        <x:v>Estimativa</x:v>
      </x:c>
      <x:c r="H9" s="8" t="str">
        <x:v>Reserva 5 kg/m² × 18,99 m²; definir produto com Portobello e impermeabilização.</x:v>
      </x:c>
      <x:c r="I9" s="8" t="str">
        <x:v>Estimativa de planejamento; substituir por cotação de instalador em São Paulo</x:v>
      </x:c>
    </x:row>
    <x:row r="10" ht="62" customHeight="1">
      <x:c r="A10" s="8" t="str">
        <x:v>Revestimentos</x:v>
      </x:c>
      <x:c r="B10" s="8" t="str">
        <x:v>Espaçadores 2 mm, pacote 500</x:v>
      </x:c>
      <x:c r="C10" s="8" t="str">
        <x:v>pct</x:v>
      </x:c>
      <x:c r="D10" s="9" t="n">
        <x:v>4</x:v>
      </x:c>
      <x:c r="E10" s="9" t="n">
        <x:v>25</x:v>
      </x:c>
      <x:c r="F10" s="10" t="n">
        <x:f>ROUND(D10*E10,2)</x:f>
        <x:v>100</x:v>
      </x:c>
      <x:c r="G10" s="8" t="str">
        <x:v>Estimativa</x:v>
      </x:c>
      <x:c r="H10" s="8" t="str"/>
      <x:c r="I10" s="8" t="str">
        <x:v>Estimativa de planejamento; substituir por cotação de instalador em São Paulo</x:v>
      </x:c>
    </x:row>
    <x:row r="11" ht="62" customHeight="1">
      <x:c r="A11" s="8" t="str">
        <x:v>Revestimentos</x:v>
      </x:c>
      <x:c r="B11" s="8" t="str">
        <x:v>Selante sanitário neutro compatível, 280 ml</x:v>
      </x:c>
      <x:c r="C11" s="8" t="str">
        <x:v>un</x:v>
      </x:c>
      <x:c r="D11" s="9" t="n">
        <x:v>4</x:v>
      </x:c>
      <x:c r="E11" s="9" t="n">
        <x:v>45</x:v>
      </x:c>
      <x:c r="F11" s="10" t="n">
        <x:f>ROUND(D11*E11,2)</x:f>
        <x:v>180</x:v>
      </x:c>
      <x:c r="G11" s="8" t="str">
        <x:v>Estimativa</x:v>
      </x:c>
      <x:c r="H11" s="8" t="str">
        <x:v>Encontros, louça e perímetros; não substituir rejunte rígido em junta de movimento.</x:v>
      </x:c>
      <x:c r="I11" s="8" t="str">
        <x:v>Estimativa de planejamento; substituir por cotação de instalador em São Paulo</x:v>
      </x:c>
    </x:row>
    <x:row r="12" ht="62" customHeight="1">
      <x:c r="A12" s="8" t="str">
        <x:v>Revestimentos</x:v>
      </x:c>
      <x:c r="B12" s="8" t="str">
        <x:v>Perfis/acabamentos de borda e cantos</x:v>
      </x:c>
      <x:c r="C12" s="8" t="str">
        <x:v>m</x:v>
      </x:c>
      <x:c r="D12" s="9" t="n">
        <x:v>4</x:v>
      </x:c>
      <x:c r="E12" s="9" t="n">
        <x:v>65</x:v>
      </x:c>
      <x:c r="F12" s="10" t="n">
        <x:f>ROUND(D12*E12,2)</x:f>
        <x:v>260</x:v>
      </x:c>
      <x:c r="G12" s="8" t="str">
        <x:v>Estimativa</x:v>
      </x:c>
      <x:c r="H12" s="8" t="str">
        <x:v>Provisão; cantos a 45 graus dependem de ensaio de corte e fabricante.</x:v>
      </x:c>
      <x:c r="I12" s="8" t="str">
        <x:v>Estimativa de planejamento; substituir por cotação de instalador em São Paulo</x:v>
      </x:c>
    </x:row>
    <x:row r="13" ht="62" customHeight="1">
      <x:c r="A13" s="8" t="str">
        <x:v>Louças e metais</x:v>
      </x:c>
      <x:c r="B13" s="8" t="str">
        <x:v>Cuba Ametista 16 branca Duramatt</x:v>
      </x:c>
      <x:c r="C13" s="8" t="str">
        <x:v>un</x:v>
      </x:c>
      <x:c r="D13" s="9" t="n">
        <x:v>1</x:v>
      </x:c>
      <x:c r="E13" s="9" t="n">
        <x:v>1557.9</x:v>
      </x:c>
      <x:c r="F13" s="10" t="n">
        <x:f>ROUND(D13*E13,2)</x:f>
        <x:v>1557.9</x:v>
      </x:c>
      <x:c r="G13" s="8" t="str">
        <x:v>Preço web</x:v>
      </x:c>
      <x:c r="H13" s="8" t="str">
        <x:v>Confirmar estoque e válvula inclusa antes de comprar.</x:v>
      </x:c>
      <x:c r="I13" s="8" t="str">
        <x:v>https://bellobanho.com.br/produtos/cuba-de-apoio-ametista-16-duramatt-branca-1dfq0/</x:v>
      </x:c>
    </x:row>
    <x:row r="14" ht="62" customHeight="1">
      <x:c r="A14" s="8" t="str">
        <x:v>Louças e metais</x:v>
      </x:c>
      <x:c r="B14" s="8" t="str">
        <x:v>Bica de parede aço escovado 200 mm</x:v>
      </x:c>
      <x:c r="C14" s="8" t="str">
        <x:v>un</x:v>
      </x:c>
      <x:c r="D14" s="9" t="n">
        <x:v>1</x:v>
      </x:c>
      <x:c r="E14" s="9" t="n">
        <x:v>445.69</x:v>
      </x:c>
      <x:c r="F14" s="10" t="n">
        <x:f>ROUND(D14*E14,2)</x:f>
        <x:v>445.69</x:v>
      </x:c>
      <x:c r="G14" s="8" t="str">
        <x:v>Referência</x:v>
      </x:c>
      <x:c r="H14" s="8" t="str">
        <x:v>Alternativa funcional para dois registros; anúncio tem título aço e descrição preto. Confirmar SKU/acabamento.</x:v>
      </x:c>
      <x:c r="I14" s="8" t="str">
        <x:v>https://www.leroymerlin.com.br/bica-para-banheira-aco-escovado_1572794948</x:v>
      </x:c>
    </x:row>
    <x:row r="15" ht="62" customHeight="1">
      <x:c r="A15" s="8" t="str">
        <x:v>Louças e metais</x:v>
      </x:c>
      <x:c r="B15" s="8" t="str">
        <x:v>Registros Round acabamentos quente/frio</x:v>
      </x:c>
      <x:c r="C15" s="8" t="str">
        <x:v>un</x:v>
      </x:c>
      <x:c r="D15" s="9" t="n">
        <x:v>2</x:v>
      </x:c>
      <x:c r="E15" s="9" t="n">
        <x:v>380</x:v>
      </x:c>
      <x:c r="F15" s="10" t="n">
        <x:f>ROUND(D15*E15,2)</x:f>
        <x:v>760</x:v>
      </x:c>
      <x:c r="G15" s="8" t="str">
        <x:v>Estimativa</x:v>
      </x:c>
      <x:c r="H15" s="8" t="str">
        <x:v>Modelo SKP não identifica SKU de compra. Preço provisório; duas bases compatíveis incluídas abaixo.</x:v>
      </x:c>
      <x:c r="I15" s="8" t="str">
        <x:v>Estimativa de planejamento; substituir por cotação de instalador em São Paulo</x:v>
      </x:c>
    </x:row>
    <x:row r="16" ht="62" customHeight="1">
      <x:c r="A16" s="8" t="str">
        <x:v>Louças e metais</x:v>
      </x:c>
      <x:c r="B16" s="8" t="str">
        <x:v>Bases completas para misturador de parede 3 furos</x:v>
      </x:c>
      <x:c r="C16" s="8" t="str">
        <x:v>cj</x:v>
      </x:c>
      <x:c r="D16" s="9" t="n">
        <x:v>1</x:v>
      </x:c>
      <x:c r="E16" s="9" t="n">
        <x:v>450</x:v>
      </x:c>
      <x:c r="F16" s="10" t="n">
        <x:f>ROUND(D16*E16,2)</x:f>
        <x:v>450</x:v>
      </x:c>
      <x:c r="G16" s="8" t="str">
        <x:v>Estimativa</x:v>
      </x:c>
      <x:c r="H16" s="8" t="str">
        <x:v>Não adaptar cegamente a Royale monocomando. Conjunto de bases, união de mistura e bica deve ser homologado junto.</x:v>
      </x:c>
      <x:c r="I16" s="8" t="str">
        <x:v>Estimativa de planejamento; substituir por cotação de instalador em São Paulo</x:v>
      </x:c>
    </x:row>
    <x:row r="17" ht="62" customHeight="1">
      <x:c r="A17" s="8" t="str">
        <x:v>Louças e metais</x:v>
      </x:c>
      <x:c r="B17" s="8" t="str">
        <x:v>Bracci Aria B09048BN acabamento chuveiro</x:v>
      </x:c>
      <x:c r="C17" s="8" t="str">
        <x:v>un</x:v>
      </x:c>
      <x:c r="D17" s="9" t="n">
        <x:v>1</x:v>
      </x:c>
      <x:c r="E17" s="9" t="n">
        <x:v>685.17</x:v>
      </x:c>
      <x:c r="F17" s="10" t="n">
        <x:f>ROUND(D17*E17,2)</x:f>
        <x:v>685.17</x:v>
      </x:c>
      <x:c r="G17" s="8" t="str">
        <x:v>Preço web</x:v>
      </x:c>
      <x:c r="H17" s="8" t="str">
        <x:v>Acabamento apenas: confirmar base DECA exata / conversor DOCOL.</x:v>
      </x:c>
      <x:c r="I17" s="8" t="str">
        <x:v>https://www.bracci.com.br/products/acabamento-monoc-chuveiro-aria-aco-escovado</x:v>
      </x:c>
    </x:row>
    <x:row r="18" ht="62" customHeight="1">
      <x:c r="A18" s="8" t="str">
        <x:v>Louças e metais</x:v>
      </x:c>
      <x:c r="B18" s="8" t="str">
        <x:v>Base monocomando chuveiro compatível</x:v>
      </x:c>
      <x:c r="C18" s="8" t="str">
        <x:v>un</x:v>
      </x:c>
      <x:c r="D18" s="9" t="n">
        <x:v>1</x:v>
      </x:c>
      <x:c r="E18" s="9" t="n">
        <x:v>450</x:v>
      </x:c>
      <x:c r="F18" s="10" t="n">
        <x:f>ROUND(D18*E18,2)</x:f>
        <x:v>450</x:v>
      </x:c>
      <x:c r="G18" s="8" t="str">
        <x:v>Estimativa</x:v>
      </x:c>
      <x:c r="H18" s="8" t="str">
        <x:v>Provisão; retirar se base existente comprovadamente compatível e em bom estado.</x:v>
      </x:c>
      <x:c r="I18" s="8" t="str">
        <x:v>Estimativa de planejamento; substituir por cotação de instalador em São Paulo</x:v>
      </x:c>
    </x:row>
    <x:row r="19" ht="62" customHeight="1">
      <x:c r="A19" s="8" t="str">
        <x:v>Louças e metais</x:v>
      </x:c>
      <x:c r="B19" s="8" t="str">
        <x:v>Bracci B09052BN chuveiro teto</x:v>
      </x:c>
      <x:c r="C19" s="8" t="str">
        <x:v>un</x:v>
      </x:c>
      <x:c r="D19" s="9" t="n">
        <x:v>1</x:v>
      </x:c>
      <x:c r="E19" s="9" t="n">
        <x:v>933.7</x:v>
      </x:c>
      <x:c r="F19" s="10" t="n">
        <x:f>ROUND(D19*E19,2)</x:f>
        <x:v>933.7</x:v>
      </x:c>
      <x:c r="G19" s="8" t="str">
        <x:v>Preço web</x:v>
      </x:c>
      <x:c r="H19" s="8" t="str">
        <x:v>Preço cartão; conferir vazão/pressão e composição do kit.</x:v>
      </x:c>
      <x:c r="I19" s="8" t="str">
        <x:v>https://www.bracci.com.br/products/chuveiro-de-teto-aria-aco-escovado</x:v>
      </x:c>
    </x:row>
    <x:row r="20" ht="62" customHeight="1">
      <x:c r="A20" s="8" t="str">
        <x:v>Louças e metais</x:v>
      </x:c>
      <x:c r="B20" s="8" t="str">
        <x:v>Bracci B09074BN porta-papel</x:v>
      </x:c>
      <x:c r="C20" s="8" t="str">
        <x:v>un</x:v>
      </x:c>
      <x:c r="D20" s="9" t="n">
        <x:v>1</x:v>
      </x:c>
      <x:c r="E20" s="9" t="n">
        <x:v>374.02</x:v>
      </x:c>
      <x:c r="F20" s="10" t="n">
        <x:f>ROUND(D20*E20,2)</x:f>
        <x:v>374.02</x:v>
      </x:c>
      <x:c r="G20" s="8" t="str">
        <x:v>Preço web</x:v>
      </x:c>
      <x:c r="H20" s="8" t="str">
        <x:v>Disponível em breve na consulta. Modelo BGH recolorido não muda SKU de compra.</x:v>
      </x:c>
      <x:c r="I20" s="8" t="str">
        <x:v>https://www.bracci.com.br/products/porta-papel-higienico-aria-aco-escovado</x:v>
      </x:c>
    </x:row>
    <x:row r="21" ht="62" customHeight="1">
      <x:c r="A21" s="8" t="str">
        <x:v>Louças e metais</x:v>
      </x:c>
      <x:c r="B21" s="8" t="str">
        <x:v>Bracci B09075BN gancho</x:v>
      </x:c>
      <x:c r="C21" s="8" t="str">
        <x:v>un</x:v>
      </x:c>
      <x:c r="D21" s="9" t="n">
        <x:v>2</x:v>
      </x:c>
      <x:c r="E21" s="9" t="n">
        <x:v>292.72</x:v>
      </x:c>
      <x:c r="F21" s="10" t="n">
        <x:f>ROUND(D21*E21,2)</x:f>
        <x:v>585.44</x:v>
      </x:c>
      <x:c r="G21" s="8" t="str">
        <x:v>Preço web</x:v>
      </x:c>
      <x:c r="H21" s="8" t="str">
        <x:v>Esgotado na loja oficial; consultar revenda.</x:v>
      </x:c>
      <x:c r="I21" s="8" t="str">
        <x:v>https://www.bracci.com.br/products/gancho-simples-aria-aco-escovado</x:v>
      </x:c>
    </x:row>
    <x:row r="22" ht="62" customHeight="1">
      <x:c r="A22" s="8" t="str">
        <x:v>Louças e metais</x:v>
      </x:c>
      <x:c r="B22" s="8" t="str">
        <x:v>Bracci Aria toalheiro de rosto aço escovado</x:v>
      </x:c>
      <x:c r="C22" s="8" t="str">
        <x:v>un</x:v>
      </x:c>
      <x:c r="D22" s="9" t="n">
        <x:v>1</x:v>
      </x:c>
      <x:c r="E22" s="9" t="n">
        <x:v>433.65</x:v>
      </x:c>
      <x:c r="F22" s="10" t="n">
        <x:f>ROUND(D22*E22,2)</x:f>
        <x:v>433.65</x:v>
      </x:c>
      <x:c r="G22" s="8" t="str">
        <x:v>Preço web</x:v>
      </x:c>
      <x:c r="H22" s="8" t="str">
        <x:v>Posição proposta junto à bancada, fora do giro da porta; validar interferências.</x:v>
      </x:c>
      <x:c r="I22" s="8" t="str">
        <x:v>https://www.bracci.com.br/products/toalheiro-rosto-aria-aco-escovado</x:v>
      </x:c>
    </x:row>
    <x:row r="23" ht="62" customHeight="1">
      <x:c r="A23" s="8" t="str">
        <x:v>Louças e metais</x:v>
      </x:c>
      <x:c r="B23" s="8" t="str">
        <x:v>Aiello Unique Solo inox escovado fio oculto</x:v>
      </x:c>
      <x:c r="C23" s="8" t="str">
        <x:v>un</x:v>
      </x:c>
      <x:c r="D23" s="9" t="n">
        <x:v>1</x:v>
      </x:c>
      <x:c r="E23" s="9" t="n">
        <x:v>1384.65</x:v>
      </x:c>
      <x:c r="F23" s="10" t="n">
        <x:f>ROUND(D23*E23,2)</x:f>
        <x:v>1384.65</x:v>
      </x:c>
      <x:c r="G23" s="8" t="str">
        <x:v>Preço web</x:v>
      </x:c>
      <x:c r="H23" s="8" t="str">
        <x:v>Variante 47080769945771: botão; não presumir timer incluso.</x:v>
      </x:c>
      <x:c r="I23" s="8" t="str">
        <x:v>https://grupoaiello.com.br/products/toalheiro-termico-unique-solo?variant=47080769945771</x:v>
      </x:c>
    </x:row>
    <x:row r="24" ht="62" customHeight="1">
      <x:c r="A24" s="8" t="str">
        <x:v>Ralos e esgoto</x:v>
      </x:c>
      <x:c r="B24" s="8" t="str">
        <x:v>Ralo linear box 720 mm completo</x:v>
      </x:c>
      <x:c r="C24" s="8" t="str">
        <x:v>un</x:v>
      </x:c>
      <x:c r="D24" s="9" t="n">
        <x:v>1</x:v>
      </x:c>
      <x:c r="E24" s="9" t="n">
        <x:v>450</x:v>
      </x:c>
      <x:c r="F24" s="10" t="n">
        <x:f>ROUND(D24*E24,2)</x:f>
        <x:v>450</x:v>
      </x:c>
      <x:c r="G24" s="8" t="str">
        <x:v>Estimativa</x:v>
      </x:c>
      <x:c r="H24" s="8" t="str">
        <x:v>Provisão para tamanho de projeto; link é 600 mm / R$199,00, não serve como cotação de 720 mm.</x:v>
      </x:c>
      <x:c r="I24" s="8" t="str">
        <x:v>Estimativa de planejamento; substituir por cotação de instalador em São Paulo</x:v>
      </x:c>
    </x:row>
    <x:row r="25" ht="62" customHeight="1">
      <x:c r="A25" s="8" t="str">
        <x:v>Ralos e esgoto</x:v>
      </x:c>
      <x:c r="B25" s="8" t="str">
        <x:v>Ralo seco externo quadrado oculto 100x100 mm</x:v>
      </x:c>
      <x:c r="C25" s="8" t="str">
        <x:v>un</x:v>
      </x:c>
      <x:c r="D25" s="9" t="n">
        <x:v>1</x:v>
      </x:c>
      <x:c r="E25" s="9" t="n">
        <x:v>180</x:v>
      </x:c>
      <x:c r="F25" s="10" t="n">
        <x:f>ROUND(D25*E25,2)</x:f>
        <x:v>180</x:v>
      </x:c>
      <x:c r="G25" s="8" t="str">
        <x:v>Estimativa</x:v>
      </x:c>
      <x:c r="H25" s="8" t="str">
        <x:v>Proposta de formato para ao lado do vaso; tampa removível, caixa e saída a verificar.</x:v>
      </x:c>
      <x:c r="I25" s="8" t="str">
        <x:v>Estimativa de planejamento; substituir por cotação de instalador em São Paulo</x:v>
      </x:c>
    </x:row>
    <x:row r="26" ht="62" customHeight="1">
      <x:c r="A26" s="8" t="str">
        <x:v>Ralos e esgoto</x:v>
      </x:c>
      <x:c r="B26" s="8" t="str">
        <x:v>Sifão rígido para cuba, compatível</x:v>
      </x:c>
      <x:c r="C26" s="8" t="str">
        <x:v>un</x:v>
      </x:c>
      <x:c r="D26" s="9" t="n">
        <x:v>1</x:v>
      </x:c>
      <x:c r="E26" s="9" t="n">
        <x:v>100</x:v>
      </x:c>
      <x:c r="F26" s="10" t="n">
        <x:f>ROUND(D26*E26,2)</x:f>
        <x:v>100</x:v>
      </x:c>
      <x:c r="G26" s="8" t="str">
        <x:v>Estimativa</x:v>
      </x:c>
      <x:c r="H26" s="8" t="str">
        <x:v>Confirmar medida real da válvula e saída existente.</x:v>
      </x:c>
      <x:c r="I26" s="8" t="str">
        <x:v>Estimativa de planejamento; substituir por cotação de instalador em São Paulo</x:v>
      </x:c>
    </x:row>
    <x:row r="27" ht="62" customHeight="1">
      <x:c r="A27" s="8" t="str">
        <x:v>Ralos e esgoto</x:v>
      </x:c>
      <x:c r="B27" s="8" t="str">
        <x:v>Vedação/anel e fixação para reinstalar vaso</x:v>
      </x:c>
      <x:c r="C27" s="8" t="str">
        <x:v>cj</x:v>
      </x:c>
      <x:c r="D27" s="9" t="n">
        <x:v>1</x:v>
      </x:c>
      <x:c r="E27" s="9" t="n">
        <x:v>65</x:v>
      </x:c>
      <x:c r="F27" s="10" t="n">
        <x:f>ROUND(D27*E27,2)</x:f>
        <x:v>65</x:v>
      </x:c>
      <x:c r="G27" s="8" t="str">
        <x:v>Estimativa</x:v>
      </x:c>
      <x:c r="H27" s="8" t="str"/>
      <x:c r="I27" s="8" t="str">
        <x:v>Estimativa de planejamento; substituir por cotação de instalador em São Paulo</x:v>
      </x:c>
    </x:row>
    <x:row r="28" ht="62" customHeight="1">
      <x:c r="A28" s="8" t="str">
        <x:v>Ralos e esgoto</x:v>
      </x:c>
      <x:c r="B28" s="8" t="str">
        <x:v>Engate flexível certificado vaso</x:v>
      </x:c>
      <x:c r="C28" s="8" t="str">
        <x:v>un</x:v>
      </x:c>
      <x:c r="D28" s="9" t="n">
        <x:v>1</x:v>
      </x:c>
      <x:c r="E28" s="9" t="n">
        <x:v>45</x:v>
      </x:c>
      <x:c r="F28" s="10" t="n">
        <x:f>ROUND(D28*E28,2)</x:f>
        <x:v>45</x:v>
      </x:c>
      <x:c r="G28" s="8" t="str">
        <x:v>Estimativa</x:v>
      </x:c>
      <x:c r="H28" s="8" t="str">
        <x:v>Comprimento preliminar 40 cm; medir. Não embutir engate.</x:v>
      </x:c>
      <x:c r="I28" s="8" t="str">
        <x:v>Estimativa de planejamento; substituir por cotação de instalador em São Paulo</x:v>
      </x:c>
    </x:row>
    <x:row r="29" ht="62" customHeight="1">
      <x:c r="A29" s="8" t="str">
        <x:v>Ralos e esgoto</x:v>
      </x:c>
      <x:c r="B29" s="8" t="str">
        <x:v>PVC esgoto DN50, tubos</x:v>
      </x:c>
      <x:c r="C29" s="8" t="str">
        <x:v>m</x:v>
      </x:c>
      <x:c r="D29" s="9" t="n">
        <x:v>3</x:v>
      </x:c>
      <x:c r="E29" s="9" t="n">
        <x:v>22</x:v>
      </x:c>
      <x:c r="F29" s="10" t="n">
        <x:f>ROUND(D29*E29,2)</x:f>
        <x:v>66</x:v>
      </x:c>
      <x:c r="G29" s="8" t="str">
        <x:v>Estimativa</x:v>
      </x:c>
      <x:c r="H29" s="8" t="str">
        <x:v>Reserva, traçado/cotas de fundo não levantados; diâmetro depende dos ralos.</x:v>
      </x:c>
      <x:c r="I29" s="8" t="str">
        <x:v>Estimativa de planejamento; substituir por cotação de instalador em São Paulo</x:v>
      </x:c>
    </x:row>
    <x:row r="30" ht="62" customHeight="1">
      <x:c r="A30" s="8" t="str">
        <x:v>Ralos e esgoto</x:v>
      </x:c>
      <x:c r="B30" s="8" t="str">
        <x:v>PVC esgoto DN40 para cuba</x:v>
      </x:c>
      <x:c r="C30" s="8" t="str">
        <x:v>m</x:v>
      </x:c>
      <x:c r="D30" s="9" t="n">
        <x:v>2</x:v>
      </x:c>
      <x:c r="E30" s="9" t="n">
        <x:v>16</x:v>
      </x:c>
      <x:c r="F30" s="10" t="n">
        <x:f>ROUND(D30*E30,2)</x:f>
        <x:v>32</x:v>
      </x:c>
      <x:c r="G30" s="8" t="str">
        <x:v>Estimativa</x:v>
      </x:c>
      <x:c r="H30" s="8" t="str"/>
      <x:c r="I30" s="8" t="str">
        <x:v>Estimativa de planejamento; substituir por cotação de instalador em São Paulo</x:v>
      </x:c>
    </x:row>
    <x:row r="31" ht="62" customHeight="1">
      <x:c r="A31" s="8" t="str">
        <x:v>Ralos e esgoto</x:v>
      </x:c>
      <x:c r="B31" s="8" t="str">
        <x:v>Joelhos/luvas/junções esgoto compatíveis</x:v>
      </x:c>
      <x:c r="C31" s="8" t="str">
        <x:v>un</x:v>
      </x:c>
      <x:c r="D31" s="9" t="n">
        <x:v>10</x:v>
      </x:c>
      <x:c r="E31" s="9" t="n">
        <x:v>15</x:v>
      </x:c>
      <x:c r="F31" s="10" t="n">
        <x:f>ROUND(D31*E31,2)</x:f>
        <x:v>150</x:v>
      </x:c>
      <x:c r="G31" s="8" t="str">
        <x:v>Estimativa</x:v>
      </x:c>
      <x:c r="H31" s="8" t="str">
        <x:v>Contagem provisória: lista final após abertura.</x:v>
      </x:c>
      <x:c r="I31" s="8" t="str">
        <x:v>Estimativa de planejamento; substituir por cotação de instalador em São Paulo</x:v>
      </x:c>
    </x:row>
    <x:row r="32" ht="62" customHeight="1">
      <x:c r="A32" s="8" t="str">
        <x:v>Ralos e esgoto</x:v>
      </x:c>
      <x:c r="B32" s="8" t="str">
        <x:v>Adesivo, solução limpadora, anéis esgoto</x:v>
      </x:c>
      <x:c r="C32" s="8" t="str">
        <x:v>cj</x:v>
      </x:c>
      <x:c r="D32" s="9" t="n">
        <x:v>1</x:v>
      </x:c>
      <x:c r="E32" s="9" t="n">
        <x:v>85</x:v>
      </x:c>
      <x:c r="F32" s="10" t="n">
        <x:f>ROUND(D32*E32,2)</x:f>
        <x:v>85</x:v>
      </x:c>
      <x:c r="G32" s="8" t="str">
        <x:v>Estimativa</x:v>
      </x:c>
      <x:c r="H32" s="8" t="str"/>
      <x:c r="I32" s="8" t="str">
        <x:v>Estimativa de planejamento; substituir por cotação de instalador em São Paulo</x:v>
      </x:c>
    </x:row>
    <x:row r="33" ht="62" customHeight="1">
      <x:c r="A33" s="8" t="str">
        <x:v>Água quente/fria</x:v>
      </x:c>
      <x:c r="B33" s="8" t="str">
        <x:v>CPVC água quente, tubos e sobra</x:v>
      </x:c>
      <x:c r="C33" s="8" t="str">
        <x:v>m</x:v>
      </x:c>
      <x:c r="D33" s="9" t="n">
        <x:v>6</x:v>
      </x:c>
      <x:c r="E33" s="9" t="n">
        <x:v>22</x:v>
      </x:c>
      <x:c r="F33" s="10" t="n">
        <x:f>ROUND(D33*E33,2)</x:f>
        <x:v>132</x:v>
      </x:c>
      <x:c r="G33" s="8" t="str">
        <x:v>Estimativa</x:v>
      </x:c>
      <x:c r="H33" s="8" t="str">
        <x:v>Reserva de compra, não comprimento medido; diâmetro a dimensionar por pressão/vazão.</x:v>
      </x:c>
      <x:c r="I33" s="8" t="str">
        <x:v>Estimativa de planejamento; substituir por cotação de instalador em São Paulo</x:v>
      </x:c>
    </x:row>
    <x:row r="34" ht="62" customHeight="1">
      <x:c r="A34" s="8" t="str">
        <x:v>Água quente/fria</x:v>
      </x:c>
      <x:c r="B34" s="8" t="str">
        <x:v>Isolamento térmico do ramal quente</x:v>
      </x:c>
      <x:c r="C34" s="8" t="str">
        <x:v>m</x:v>
      </x:c>
      <x:c r="D34" s="9" t="n">
        <x:v>6</x:v>
      </x:c>
      <x:c r="E34" s="9" t="n">
        <x:v>15</x:v>
      </x:c>
      <x:c r="F34" s="10" t="n">
        <x:f>ROUND(D34*E34,2)</x:f>
        <x:v>90</x:v>
      </x:c>
      <x:c r="G34" s="8" t="str">
        <x:v>Estimativa</x:v>
      </x:c>
      <x:c r="H34" s="8" t="str"/>
      <x:c r="I34" s="8" t="str">
        <x:v>Estimativa de planejamento; substituir por cotação de instalador em São Paulo</x:v>
      </x:c>
    </x:row>
    <x:row r="35" ht="62" customHeight="1">
      <x:c r="A35" s="8" t="str">
        <x:v>Água quente/fria</x:v>
      </x:c>
      <x:c r="B35" s="8" t="str">
        <x:v>Tês de derivação sistema existente</x:v>
      </x:c>
      <x:c r="C35" s="8" t="str">
        <x:v>un</x:v>
      </x:c>
      <x:c r="D35" s="9" t="n">
        <x:v>2</x:v>
      </x:c>
      <x:c r="E35" s="9" t="n">
        <x:v>25</x:v>
      </x:c>
      <x:c r="F35" s="10" t="n">
        <x:f>ROUND(D35*E35,2)</x:f>
        <x:v>50</x:v>
      </x:c>
      <x:c r="G35" s="8" t="str">
        <x:v>Estimativa</x:v>
      </x:c>
      <x:c r="H35" s="8" t="str"/>
      <x:c r="I35" s="8" t="str">
        <x:v>Estimativa de planejamento; substituir por cotação de instalador em São Paulo</x:v>
      </x:c>
    </x:row>
    <x:row r="36" ht="62" customHeight="1">
      <x:c r="A36" s="8" t="str">
        <x:v>Água quente/fria</x:v>
      </x:c>
      <x:c r="B36" s="8" t="str">
        <x:v>Joelhos CPVC</x:v>
      </x:c>
      <x:c r="C36" s="8" t="str">
        <x:v>un</x:v>
      </x:c>
      <x:c r="D36" s="9" t="n">
        <x:v>8</x:v>
      </x:c>
      <x:c r="E36" s="9" t="n">
        <x:v>15</x:v>
      </x:c>
      <x:c r="F36" s="10" t="n">
        <x:f>ROUND(D36*E36,2)</x:f>
        <x:v>120</x:v>
      </x:c>
      <x:c r="G36" s="8" t="str">
        <x:v>Estimativa</x:v>
      </x:c>
      <x:c r="H36" s="8" t="str"/>
      <x:c r="I36" s="8" t="str">
        <x:v>Estimativa de planejamento; substituir por cotação de instalador em São Paulo</x:v>
      </x:c>
    </x:row>
    <x:row r="37" ht="62" customHeight="1">
      <x:c r="A37" s="8" t="str">
        <x:v>Água quente/fria</x:v>
      </x:c>
      <x:c r="B37" s="8" t="str">
        <x:v>Luvas/transições roscadas metálicas</x:v>
      </x:c>
      <x:c r="C37" s="8" t="str">
        <x:v>un</x:v>
      </x:c>
      <x:c r="D37" s="9" t="n">
        <x:v>6</x:v>
      </x:c>
      <x:c r="E37" s="9" t="n">
        <x:v>25</x:v>
      </x:c>
      <x:c r="F37" s="10" t="n">
        <x:f>ROUND(D37*E37,2)</x:f>
        <x:v>150</x:v>
      </x:c>
      <x:c r="G37" s="8" t="str">
        <x:v>Estimativa</x:v>
      </x:c>
      <x:c r="H37" s="8" t="str"/>
      <x:c r="I37" s="8" t="str">
        <x:v>Estimativa de planejamento; substituir por cotação de instalador em São Paulo</x:v>
      </x:c>
    </x:row>
    <x:row r="38" ht="62" customHeight="1">
      <x:c r="A38" s="8" t="str">
        <x:v>Água quente/fria</x:v>
      </x:c>
      <x:c r="B38" s="8" t="str">
        <x:v>Registro de isolamento acessível</x:v>
      </x:c>
      <x:c r="C38" s="8" t="str">
        <x:v>un</x:v>
      </x:c>
      <x:c r="D38" s="9" t="n">
        <x:v>1</x:v>
      </x:c>
      <x:c r="E38" s="9" t="n">
        <x:v>100</x:v>
      </x:c>
      <x:c r="F38" s="10" t="n">
        <x:f>ROUND(D38*E38,2)</x:f>
        <x:v>100</x:v>
      </x:c>
      <x:c r="G38" s="8" t="str">
        <x:v>Estimativa</x:v>
      </x:c>
      <x:c r="H38" s="8" t="str"/>
      <x:c r="I38" s="8" t="str">
        <x:v>Estimativa de planejamento; substituir por cotação de instalador em São Paulo</x:v>
      </x:c>
    </x:row>
    <x:row r="39" ht="62" customHeight="1">
      <x:c r="A39" s="8" t="str">
        <x:v>Água quente/fria</x:v>
      </x:c>
      <x:c r="B39" s="8" t="str">
        <x:v>Adesivo CPVC e consumíveis</x:v>
      </x:c>
      <x:c r="C39" s="8" t="str">
        <x:v>cj</x:v>
      </x:c>
      <x:c r="D39" s="9" t="n">
        <x:v>1</x:v>
      </x:c>
      <x:c r="E39" s="9" t="n">
        <x:v>90</x:v>
      </x:c>
      <x:c r="F39" s="10" t="n">
        <x:f>ROUND(D39*E39,2)</x:f>
        <x:v>90</x:v>
      </x:c>
      <x:c r="G39" s="8" t="str">
        <x:v>Estimativa</x:v>
      </x:c>
      <x:c r="H39" s="8" t="str"/>
      <x:c r="I39" s="8" t="str">
        <x:v>Estimativa de planejamento; substituir por cotação de instalador em São Paulo</x:v>
      </x:c>
    </x:row>
    <x:row r="40" ht="62" customHeight="1">
      <x:c r="A40" s="8" t="str">
        <x:v>Água quente/fria</x:v>
      </x:c>
      <x:c r="B40" s="8" t="str">
        <x:v>Abraçadeiras, suportes e veda-rosca</x:v>
      </x:c>
      <x:c r="C40" s="8" t="str">
        <x:v>cj</x:v>
      </x:c>
      <x:c r="D40" s="9" t="n">
        <x:v>1</x:v>
      </x:c>
      <x:c r="E40" s="9" t="n">
        <x:v>80</x:v>
      </x:c>
      <x:c r="F40" s="10" t="n">
        <x:f>ROUND(D40*E40,2)</x:f>
        <x:v>80</x:v>
      </x:c>
      <x:c r="G40" s="8" t="str">
        <x:v>Estimativa</x:v>
      </x:c>
      <x:c r="H40" s="8" t="str"/>
      <x:c r="I40" s="8" t="str">
        <x:v>Estimativa de planejamento; substituir por cotação de instalador em São Paulo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</x:cols>
  <x:sheetData>
    <x:row r="1">
      <x:c r="A1" s="1" t="str">
        <x:v>Memória de compra</x:v>
      </x:c>
    </x:row>
    <x:row r="2">
      <x:c r="A2" t="str">
        <x:v>MAXHAUS | R1 | 25/10/2026 | valores em R$ | conferir em obra</x:v>
      </x:c>
    </x:row>
    <x:row r="4" ht="30" customHeight="1">
      <x:c r="A4" s="4" t="str">
        <x:v>Material / parâmetro</x:v>
      </x:c>
      <x:c r="B4" s="4" t="str">
        <x:v>Peças origem</x:v>
      </x:c>
      <x:c r="C4" s="4" t="str">
        <x:v>Reserva</x:v>
      </x:c>
      <x:c r="D4" s="4" t="str">
        <x:v>Peças/cx</x:v>
      </x:c>
      <x:c r="E4" s="4" t="str">
        <x:v>Caixas</x:v>
      </x:c>
      <x:c r="F4" s="4" t="str">
        <x:v>m²/cx</x:v>
      </x:c>
      <x:c r="G4" s="4" t="str">
        <x:v>m² compra</x:v>
      </x:c>
    </x:row>
    <x:row r="5">
      <x:c r="A5" t="str">
        <x:v>Gouache Bleu Nuit</x:v>
      </x:c>
      <x:c r="B5" t="n">
        <x:f>SUM(Paredes!H5:H19)</x:f>
        <x:v>1632</x:v>
      </x:c>
      <x:c r="C5" s="12" t="n">
        <x:v>0.1</x:v>
      </x:c>
      <x:c r="D5" t="n">
        <x:v>26</x:v>
      </x:c>
      <x:c r="E5" t="n">
        <x:f>ROUNDUP(B5*(1+C5)/D5,0)</x:f>
        <x:v>70</x:v>
      </x:c>
      <x:c r="F5" s="13" t="n">
        <x:v>0.3</x:v>
      </x:c>
      <x:c r="G5" s="13" t="n">
        <x:f>E5*F5</x:f>
        <x:v>21</x:v>
      </x:c>
    </x:row>
    <x:row r="6">
      <x:c r="A6" t="str">
        <x:v>Gouache Nuage</x:v>
      </x:c>
      <x:c r="B6" t="n">
        <x:f>SUM(Paredes!I5:I19)</x:f>
        <x:v>152</x:v>
      </x:c>
      <x:c r="C6" s="12" t="n">
        <x:v>0.1</x:v>
      </x:c>
      <x:c r="D6" t="n">
        <x:v>26</x:v>
      </x:c>
      <x:c r="E6" t="n">
        <x:f>ROUNDUP(B6*(1+C6)/D6,0)</x:f>
        <x:v>7</x:v>
      </x:c>
      <x:c r="F6" s="13" t="n">
        <x:v>0.3</x:v>
      </x:c>
      <x:c r="G6" s="13" t="n">
        <x:f>E6*F6</x:f>
        <x:v>2.1</x:v>
      </x:c>
    </x:row>
    <x:row r="9">
      <x:c r="A9" t="str">
        <x:v>Área piso banheiro m²</x:v>
      </x:c>
      <x:c r="B9" s="11" t="n">
        <x:v>3.542305</x:v>
      </x:c>
    </x:row>
    <x:row r="10">
      <x:c r="A10" t="str">
        <x:v>Paredes e nicho m²</x:v>
      </x:c>
      <x:c r="B10" s="11" t="n">
        <x:f>SUM(Paredes!E5:E15)</x:f>
        <x:v>17.908637999999996</x:v>
      </x:c>
    </x:row>
    <x:row r="11">
      <x:c r="A11" t="str">
        <x:v>Tampo e bordas m²</x:v>
      </x:c>
      <x:c r="B11" s="11" t="n">
        <x:f>SUM(Paredes!E16:E19)</x:f>
        <x:v>1.07775</x:v>
      </x:c>
    </x:row>
    <x:row r="12">
      <x:c r="A12" t="str">
        <x:v>Junta nominal mm</x:v>
      </x:c>
      <x:c r="B12" t="n">
        <x:v>2</x:v>
      </x:c>
    </x:row>
    <x:row r="13">
      <x:c r="A13" t="str">
        <x:v>Impermeabilização m² (fora do orçamento)</x:v>
      </x:c>
      <x:c r="B13" t="n">
        <x:v>12</x:v>
      </x:c>
    </x:row>
    <x:row r="15">
      <x:c r="A15" t="str">
        <x:v>Cada peça recortada consome uma peça de origem; sem reaproveitamento presumido.</x:v>
      </x:c>
    </x:row>
    <x:row r="16">
      <x:c r="A16" t="str">
        <x:v>Calibre real do lote difere do nominal: revisar recortes após medição das peças.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15" hidden="0" customWidth="1"/>
    <x:col min="4" max="4" width="15" hidden="0" customWidth="1"/>
    <x:col min="5" max="5" width="17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</x:cols>
  <x:sheetData>
    <x:row r="1">
      <x:c r="A1" s="1" t="str">
        <x:v>Superfícies e peças de origem</x:v>
      </x:c>
    </x:row>
    <x:row r="2">
      <x:c r="A2" t="str">
        <x:v>MAXHAUS | R1 | 25/10/2026 | valores em R$ | conferir em obra</x:v>
      </x:c>
    </x:row>
    <x:row r="4" ht="30" customHeight="1">
      <x:c r="A4" s="4" t="str">
        <x:v>ID</x:v>
      </x:c>
      <x:c r="B4" s="4" t="str">
        <x:v>Superfície</x:v>
      </x:c>
      <x:c r="C4" s="4" t="str">
        <x:v>Largura mm</x:v>
      </x:c>
      <x:c r="D4" s="4" t="str">
        <x:v>Altura mm</x:v>
      </x:c>
      <x:c r="E4" s="4" t="str">
        <x:v>Área líquida m²</x:v>
      </x:c>
      <x:c r="F4" s="4" t="str">
        <x:v>Cerâmica Bleu m²</x:v>
      </x:c>
      <x:c r="G4" s="4" t="str">
        <x:v>Cerâmica Nuage m²</x:v>
      </x:c>
      <x:c r="H4" s="4" t="str">
        <x:v>Peças Bleu</x:v>
      </x:c>
      <x:c r="I4" s="4" t="str">
        <x:v>Peças Nuage</x:v>
      </x:c>
    </x:row>
    <x:row r="5" ht="30" customHeight="1">
      <x:c r="A5" t="str">
        <x:v>P1</x:v>
      </x:c>
      <x:c r="B5" t="str">
        <x:v>Fundo do box / nicho</x:v>
      </x:c>
      <x:c r="C5" t="n">
        <x:v>1275</x:v>
      </x:c>
      <x:c r="D5" t="n">
        <x:v>2391</x:v>
      </x:c>
      <x:c r="E5" s="11" t="n">
        <x:v>2.648525</x:v>
      </x:c>
      <x:c r="F5" s="11" t="n">
        <x:v>2.4589649999999987</x:v>
      </x:c>
      <x:c r="G5" s="11" t="n">
        <x:v>0.08727999999999995</x:v>
      </x:c>
      <x:c r="H5" t="n">
        <x:v>240</x:v>
      </x:c>
      <x:c r="I5" t="n">
        <x:v>8</x:v>
      </x:c>
    </x:row>
    <x:row r="6" ht="30" customHeight="1">
      <x:c r="A6" t="str">
        <x:v>P2</x:v>
      </x:c>
      <x:c r="B6" t="str">
        <x:v>Lateral do box / área técnica</x:v>
      </x:c>
      <x:c r="C6" t="n">
        <x:v>877</x:v>
      </x:c>
      <x:c r="D6" t="n">
        <x:v>2391</x:v>
      </x:c>
      <x:c r="E6" s="11" t="n">
        <x:v>2.0969069999999994</x:v>
      </x:c>
      <x:c r="F6" s="11" t="n">
        <x:v>1.9372799999999992</x:v>
      </x:c>
      <x:c r="G6" s="11" t="n">
        <x:v>0.08137500000000003</x:v>
      </x:c>
      <x:c r="H6" t="n">
        <x:v>185</x:v>
      </x:c>
      <x:c r="I6" t="n">
        <x:v>7</x:v>
      </x:c>
    </x:row>
    <x:row r="7" ht="30" customHeight="1">
      <x:c r="A7" t="str">
        <x:v>P3</x:v>
      </x:c>
      <x:c r="B7" t="str">
        <x:v>Parede da bancada e espelho</x:v>
      </x:c>
      <x:c r="C7" t="n">
        <x:v>1706</x:v>
      </x:c>
      <x:c r="D7" t="n">
        <x:v>2391</x:v>
      </x:c>
      <x:c r="E7" s="11" t="n">
        <x:v>4.079046000000001</x:v>
      </x:c>
      <x:c r="F7" s="11" t="n">
        <x:v>3.7844819999999983</x:v>
      </x:c>
      <x:c r="G7" s="11" t="n">
        <x:v>0.1394999999999999</x:v>
      </x:c>
      <x:c r="H7" t="n">
        <x:v>356</x:v>
      </x:c>
      <x:c r="I7" t="n">
        <x:v>12</x:v>
      </x:c>
    </x:row>
    <x:row r="8" ht="30" customHeight="1">
      <x:c r="A8" t="str">
        <x:v>P4</x:v>
      </x:c>
      <x:c r="B8" t="str">
        <x:v>Parede da porta</x:v>
      </x:c>
      <x:c r="C8" t="n">
        <x:v>2583</x:v>
      </x:c>
      <x:c r="D8" t="n">
        <x:v>2391</x:v>
      </x:c>
      <x:c r="E8" s="11" t="n">
        <x:v>4.583152999999999</x:v>
      </x:c>
      <x:c r="F8" s="11" t="n">
        <x:v>4.222376999999993</x:v>
      </x:c>
      <x:c r="G8" s="11" t="n">
        <x:v>0.186</x:v>
      </x:c>
      <x:c r="H8" t="n">
        <x:v>420</x:v>
      </x:c>
      <x:c r="I8" t="n">
        <x:v>16</x:v>
      </x:c>
    </x:row>
    <x:row r="9" ht="30" customHeight="1">
      <x:c r="A9" t="str">
        <x:v>P5</x:v>
      </x:c>
      <x:c r="B9" t="str">
        <x:v>Parede do vaso sanitário</x:v>
      </x:c>
      <x:c r="C9" t="n">
        <x:v>1427</x:v>
      </x:c>
      <x:c r="D9" t="n">
        <x:v>2391</x:v>
      </x:c>
      <x:c r="E9" s="11" t="n">
        <x:v>3.411957</x:v>
      </x:c>
      <x:c r="F9" s="11" t="n">
        <x:v>3.1615459999999986</x:v>
      </x:c>
      <x:c r="G9" s="11" t="n">
        <x:v>0.12260499999999994</x:v>
      </x:c>
      <x:c r="H9" t="n">
        <x:v>293</x:v>
      </x:c>
      <x:c r="I9" t="n">
        <x:v>11</x:v>
      </x:c>
    </x:row>
    <x:row r="10" ht="30" customHeight="1">
      <x:c r="A10" t="str">
        <x:v>P6</x:v>
      </x:c>
      <x:c r="B10" t="str">
        <x:v>Retorno da área técnica</x:v>
      </x:c>
      <x:c r="C10" t="n">
        <x:v>150</x:v>
      </x:c>
      <x:c r="D10" t="n">
        <x:v>2391</x:v>
      </x:c>
      <x:c r="E10" s="11" t="n">
        <x:v>0.3586500000000003</x:v>
      </x:c>
      <x:c r="F10" s="11" t="n">
        <x:v>0.347067</x:v>
      </x:c>
      <x:c r="G10" s="11" t="n">
        <x:v>0</x:v>
      </x:c>
      <x:c r="H10" t="n">
        <x:v>32</x:v>
      </x:c>
      <x:c r="I10" t="n">
        <x:v>0</x:v>
      </x:c>
    </x:row>
    <x:row r="11" ht="30" customHeight="1">
      <x:c r="A11" t="str">
        <x:v>N1</x:v>
      </x:c>
      <x:c r="B11" t="str">
        <x:v>Nicho / fundo</x:v>
      </x:c>
      <x:c r="C11" t="n">
        <x:v>1000</x:v>
      </x:c>
      <x:c r="D11" t="n">
        <x:v>400</x:v>
      </x:c>
      <x:c r="E11" s="11" t="n">
        <x:v>0.3999999999999999</x:v>
      </x:c>
      <x:c r="F11" s="11" t="n">
        <x:v>0.3662809999999999</x:v>
      </x:c>
      <x:c r="G11" s="11" t="n">
        <x:v>0.017474999999999997</x:v>
      </x:c>
      <x:c r="H11" t="n">
        <x:v>54</x:v>
      </x:c>
      <x:c r="I11" t="n">
        <x:v>2</x:v>
      </x:c>
    </x:row>
    <x:row r="12" ht="30" customHeight="1">
      <x:c r="A12" t="str">
        <x:v>N2</x:v>
      </x:c>
      <x:c r="B12" t="str">
        <x:v>Nicho / lateral esquerda</x:v>
      </x:c>
      <x:c r="C12" t="n">
        <x:v>118</x:v>
      </x:c>
      <x:c r="D12" t="n">
        <x:v>400</x:v>
      </x:c>
      <x:c r="E12" s="11" t="n">
        <x:v>0.04719999999999994</x:v>
      </x:c>
      <x:c r="F12" s="11" t="n">
        <x:v>0.04491600000000012</x:v>
      </x:c>
      <x:c r="G12" s="11" t="n">
        <x:v>0</x:v>
      </x:c>
      <x:c r="H12" t="n">
        <x:v>12</x:v>
      </x:c>
      <x:c r="I12" t="n">
        <x:v>0</x:v>
      </x:c>
    </x:row>
    <x:row r="13" ht="30" customHeight="1">
      <x:c r="A13" t="str">
        <x:v>N3</x:v>
      </x:c>
      <x:c r="B13" t="str">
        <x:v>Nicho / lateral direita</x:v>
      </x:c>
      <x:c r="C13" t="n">
        <x:v>118</x:v>
      </x:c>
      <x:c r="D13" t="n">
        <x:v>400</x:v>
      </x:c>
      <x:c r="E13" s="11" t="n">
        <x:v>0.04719999999999994</x:v>
      </x:c>
      <x:c r="F13" s="11" t="n">
        <x:v>0.04491600000000012</x:v>
      </x:c>
      <x:c r="G13" s="11" t="n">
        <x:v>0</x:v>
      </x:c>
      <x:c r="H13" t="n">
        <x:v>12</x:v>
      </x:c>
      <x:c r="I13" t="n">
        <x:v>0</x:v>
      </x:c>
    </x:row>
    <x:row r="14" ht="30" customHeight="1">
      <x:c r="A14" t="str">
        <x:v>N4</x:v>
      </x:c>
      <x:c r="B14" t="str">
        <x:v>Nicho / base</x:v>
      </x:c>
      <x:c r="C14" t="n">
        <x:v>1000</x:v>
      </x:c>
      <x:c r="D14" t="n">
        <x:v>118</x:v>
      </x:c>
      <x:c r="E14" s="11" t="n">
        <x:v>0.11799999999999988</x:v>
      </x:c>
      <x:c r="F14" s="11" t="n">
        <x:v>0.1149319999999998</x:v>
      </x:c>
      <x:c r="G14" s="11" t="n">
        <x:v>0</x:v>
      </x:c>
      <x:c r="H14" t="n">
        <x:v>14</x:v>
      </x:c>
      <x:c r="I14" t="n">
        <x:v>0</x:v>
      </x:c>
    </x:row>
    <x:row r="15" ht="30" customHeight="1">
      <x:c r="A15" t="str">
        <x:v>N5</x:v>
      </x:c>
      <x:c r="B15" t="str">
        <x:v>Nicho / teto</x:v>
      </x:c>
      <x:c r="C15" t="n">
        <x:v>1000</x:v>
      </x:c>
      <x:c r="D15" t="n">
        <x:v>118</x:v>
      </x:c>
      <x:c r="E15" s="11" t="n">
        <x:v>0.11799999999999988</x:v>
      </x:c>
      <x:c r="F15" s="11" t="n">
        <x:v>0.1149319999999998</x:v>
      </x:c>
      <x:c r="G15" s="11" t="n">
        <x:v>0</x:v>
      </x:c>
      <x:c r="H15" t="n">
        <x:v>14</x:v>
      </x:c>
      <x:c r="I15" t="n">
        <x:v>0</x:v>
      </x:c>
    </x:row>
    <x:row r="16" ht="30" customHeight="1">
      <x:c r="A16" t="str">
        <x:v>B1</x:v>
      </x:c>
      <x:c r="B16" t="str">
        <x:v>Bancada / tampo</x:v>
      </x:c>
      <x:c r="C16" t="n">
        <x:v>1650</x:v>
      </x:c>
      <x:c r="D16" t="n">
        <x:v>530</x:v>
      </x:c>
      <x:c r="E16" s="11" t="n">
        <x:v>0.8745000000000002</x:v>
      </x:c>
      <x:c r="F16" s="11" t="n">
        <x:v>0</x:v>
      </x:c>
      <x:c r="G16" s="11" t="n">
        <x:v>0.8443400000000001</x:v>
      </x:c>
      <x:c r="H16" t="n">
        <x:v>0</x:v>
      </x:c>
      <x:c r="I16" t="n">
        <x:v>77</x:v>
      </x:c>
    </x:row>
    <x:row r="17" ht="30" customHeight="1">
      <x:c r="A17" t="str">
        <x:v>B2</x:v>
      </x:c>
      <x:c r="B17" t="str">
        <x:v>Bancada / borda frontal</x:v>
      </x:c>
      <x:c r="C17" t="n">
        <x:v>1650</x:v>
      </x:c>
      <x:c r="D17" t="n">
        <x:v>75</x:v>
      </x:c>
      <x:c r="E17" s="11" t="n">
        <x:v>0.12374999999999994</x:v>
      </x:c>
      <x:c r="F17" s="11" t="n">
        <x:v>0</x:v>
      </x:c>
      <x:c r="G17" s="11" t="n">
        <x:v>0.12224999999999997</x:v>
      </x:c>
      <x:c r="H17" t="n">
        <x:v>0</x:v>
      </x:c>
      <x:c r="I17" t="n">
        <x:v>11</x:v>
      </x:c>
    </x:row>
    <x:row r="18" ht="30" customHeight="1">
      <x:c r="A18" t="str">
        <x:v>B3</x:v>
      </x:c>
      <x:c r="B18" t="str">
        <x:v>Bancada / borda sul</x:v>
      </x:c>
      <x:c r="C18" t="n">
        <x:v>530</x:v>
      </x:c>
      <x:c r="D18" t="n">
        <x:v>75</x:v>
      </x:c>
      <x:c r="E18" s="11" t="n">
        <x:v>0.03974999999999998</x:v>
      </x:c>
      <x:c r="F18" s="11" t="n">
        <x:v>0</x:v>
      </x:c>
      <x:c r="G18" s="11" t="n">
        <x:v>0.039299999999999974</x:v>
      </x:c>
      <x:c r="H18" t="n">
        <x:v>0</x:v>
      </x:c>
      <x:c r="I18" t="n">
        <x:v>4</x:v>
      </x:c>
    </x:row>
    <x:row r="19" ht="30" customHeight="1">
      <x:c r="A19" t="str">
        <x:v>B4</x:v>
      </x:c>
      <x:c r="B19" t="str">
        <x:v>Bancada / borda norte</x:v>
      </x:c>
      <x:c r="C19" t="n">
        <x:v>530</x:v>
      </x:c>
      <x:c r="D19" t="n">
        <x:v>75</x:v>
      </x:c>
      <x:c r="E19" s="11" t="n">
        <x:v>0.03974999999999998</x:v>
      </x:c>
      <x:c r="F19" s="11" t="n">
        <x:v>0</x:v>
      </x:c>
      <x:c r="G19" s="11" t="n">
        <x:v>0.039299999999999974</x:v>
      </x:c>
      <x:c r="H19" t="n">
        <x:v>0</x:v>
      </x:c>
      <x:c r="I19" t="n">
        <x:v>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10" hidden="0" customWidth="1"/>
  </x:cols>
  <x:sheetData>
    <x:row r="1">
      <x:c r="A1" s="1" t="str">
        <x:v>Condições de uso e fontes</x:v>
      </x:c>
    </x:row>
    <x:row r="2">
      <x:c r="A2" t="str">
        <x:v>MAXHAUS | R1 | 25/10/2026 | valores em R$ | conferir em obra</x:v>
      </x:c>
    </x:row>
    <x:row r="4" ht="30" customHeight="1">
      <x:c r="A4" s="4" t="str">
        <x:v>Tema</x:v>
      </x:c>
      <x:c r="B4" s="4" t="str">
        <x:v>Critério / decisão</x:v>
      </x:c>
    </x:row>
    <x:row r="5" ht="55" customHeight="1">
      <x:c r="A5" s="8" t="str">
        <x:v>Status</x:v>
      </x:c>
      <x:c r="B5" s="8" t="str">
        <x:v>Caderno de coordenação: não liberado para obra antes da conferência de campo e validação do responsável técnico.</x:v>
      </x:c>
    </x:row>
    <x:row r="6" ht="55" customHeight="1">
      <x:c r="A6" s="8" t="str">
        <x:v>Projeto</x:v>
      </x:c>
      <x:c r="B6" s="8" t="str">
        <x:v>R47; paredes Bleu Nuit com detalhes Nuage e tampo Nuage 7,5 × 15,5 cm.</x:v>
      </x:c>
    </x:row>
    <x:row r="7" ht="55" customHeight="1">
      <x:c r="A7" s="8" t="str">
        <x:v>Contagem</x:v>
      </x:c>
      <x:c r="B7" s="8" t="str">
        <x:v>Peças e recortes em Mapa_pecas_recortes.csv. Não somar área de cada fragmento: coluna de área é da peça de origem.</x:v>
      </x:c>
    </x:row>
    <x:row r="8" ht="55" customHeight="1">
      <x:c r="A8" s="8" t="str">
        <x:v>Preços</x:v>
      </x:c>
      <x:c r="B8" s="8" t="str">
        <x:v>Consultados em 25/10/2026; frete e estoque a confirmar; preços de planejamento não são proposta de fornecedor.</x:v>
      </x:c>
    </x:row>
    <x:row r="9" ht="55" customHeight="1">
      <x:c r="A9" s="8" t="str">
        <x:v>Proposta Portobello</x:v>
      </x:c>
      <x:c r="B9" s="8" t="str">
        <x:v>05310148 de 13/10/2026; válida até 31/10/2026. Bleu Nuit 339,99/m². Não somar alternativas Terralma nem produtos da sala.</x:v>
      </x:c>
    </x:row>
    <x:row r="10" ht="55" customHeight="1">
      <x:c r="A10" s="8" t="str">
        <x:v>Rejunte</x:v>
      </x:c>
      <x:c r="B10" s="8" t="str">
        <x:v>2 mm solicitado; catálogo indica 1,5 mm. Acrílico azul escuro comercial não confirmado; aprovar amostra/SKU, não comprar como Dansk.</x:v>
      </x:c>
    </x:row>
    <x:row r="11" ht="55" customHeight="1">
      <x:c r="A11" s="8" t="str">
        <x:v>Calibre</x:v>
      </x:c>
      <x:c r="B11" s="8" t="str">
        <x:v>Nuage: tamanho de fabricação informado 76,5 × 155,5 mm; rever paginação nominal 75 × 155 antes de cortar.</x:v>
      </x:c>
    </x:row>
    <x:row r="12" ht="55" customHeight="1">
      <x:c r="A12" s="8" t="str">
        <x:v>Tampo</x:v>
      </x:c>
      <x:c r="B12" s="8" t="str">
        <x:v>Altura acabada máxima 840 mm; confirmar fabricante permite revestimento em superfície horizontal.</x:v>
      </x:c>
    </x:row>
    <x:row r="13" ht="55" customHeight="1">
      <x:c r="A13" s="8" t="str">
        <x:v>Hidráulica</x:v>
      </x:c>
      <x:c r="B13" s="8" t="str">
        <x:v>Diâmetros, conexões e metragens provisórios; confirmar pressão, traçado, base monocomando, capacidade do aquecedor e cotas de esgoto.</x:v>
      </x:c>
    </x:row>
    <x:row r="14" ht="55" customHeight="1">
      <x:c r="A14" s="8" t="str">
        <x:v>Metais</x:v>
      </x:c>
      <x:c r="B14" s="8" t="str">
        <x:v>Bracci aço escovado, Aiello inox escovado e bica de outro fabricante não garantem identidade de tonalidade. Comparar amostras.</x:v>
      </x:c>
    </x:row>
    <x:row r="15" ht="55" customHeight="1">
      <x:c r="A15" s="8" t="str">
        <x:v>Alternativas excluídas</x:v>
      </x:c>
      <x:c r="B15" s="8" t="str">
        <x:v>Royale monocomando 527,00 não somada com conjunto bica + 2 Round. Extensor de fixação 36,75 e tubo de descarga 272,87 não somados.</x:v>
      </x:c>
    </x:row>
    <x:row r="16" ht="55" customHeight="1">
      <x:c r="A16" s="8" t="str">
        <x:v>Ralos</x:v>
      </x:c>
      <x:c r="B16" s="8" t="str">
        <x:v>720 mm no box. Link fornecido tem 600 mm; orçamento 720 mm provisório. Externo proposto 100 × 100 mm, localização a medir.</x:v>
      </x:c>
    </x:row>
    <x:row r="17" ht="55" customHeight="1">
      <x:c r="A17" s="8" t="str">
        <x:v>Iluminação</x:v>
      </x:c>
      <x:c r="B17" s="8" t="str">
        <x:v>Perfil frontal 1,65 m proposto; conferir volumes, proteção, circuitos e instalação de fonte acessível.</x:v>
      </x:c>
    </x:row>
    <x:row r="18" ht="55" customHeight="1">
      <x:c r="A18" s="8" t="str">
        <x:v>Monofloor</x:v>
      </x:c>
      <x:c r="B18" s="8" t="str">
        <x:v>Everest: confirmar sistema adequado para box, impermeabilização, aderência e mínimo de contratação.</x:v>
      </x:c>
    </x:row>
    <x:row r="19" ht="55" customHeight="1">
      <x:c r="A19" s="8" t="str">
        <x:v>Compra</x:v>
      </x:c>
      <x:c r="B19" s="8" t="str">
        <x:v>Compatibilizar todas as bases, válvula/sifão, fixações e garantia antes da compra.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8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s="1" t="str">
        <x:v>Portobello | mesma tarifa, quantidades diferentes</x:v>
      </x:c>
    </x:row>
    <x:row r="2">
      <x:c r="A2" t="str">
        <x:v>MAXHAUS | R1 | 25/10/2026 | valores em R$ | conferir em obra</x:v>
      </x:c>
    </x:row>
    <x:row r="4" ht="30" customHeight="1">
      <x:c r="A4" s="4" t="str">
        <x:v>Componente</x:v>
      </x:c>
      <x:c r="B4" s="4" t="str">
        <x:v>Proposta oficial R$</x:v>
      </x:c>
      <x:c r="C4" s="4" t="str">
        <x:v>R0 / R1 R$</x:v>
      </x:c>
      <x:c r="D4" s="4" t="str">
        <x:v>Diferença R$</x:v>
      </x:c>
    </x:row>
    <x:row r="5" ht="34" customHeight="1">
      <x:c r="A5" t="str">
        <x:v>Bleu Nuit: oficial 16,20 m² / estudo 21,00 m²</x:v>
      </x:c>
      <x:c r="B5" s="14" t="n">
        <x:f>ROUND(16.2*B10,2)</x:f>
        <x:v>5507.84</x:v>
      </x:c>
      <x:c r="C5" s="14" t="n">
        <x:f>Orcamento!F5</x:f>
        <x:v>7139.79</x:v>
      </x:c>
      <x:c r="D5" s="14" t="n">
        <x:f>C5-B5</x:f>
        <x:v>1631.9499999999998</x:v>
      </x:c>
    </x:row>
    <x:row r="6" ht="34" customHeight="1">
      <x:c r="A6" t="str">
        <x:v>Nuage: não cotado / estudo 2,10 m²</x:v>
      </x:c>
      <x:c r="B6" s="14" t="n">
        <x:v>0</x:v>
      </x:c>
      <x:c r="C6" s="14" t="n">
        <x:f>Orcamento!F6</x:f>
        <x:v>713.98</x:v>
      </x:c>
      <x:c r="D6" s="14" t="n">
        <x:f>C6-B6</x:f>
        <x:v>713.98</x:v>
      </x:c>
    </x:row>
    <x:row r="7" ht="34" customHeight="1">
      <x:c r="A7" t="str">
        <x:v>Rejunte: oficial 7 kg / estudo 14 kg</x:v>
      </x:c>
      <x:c r="B7" s="14" t="n">
        <x:f>ROUND(7*89.99,2)</x:f>
        <x:v>629.93</x:v>
      </x:c>
      <x:c r="C7" s="14" t="n">
        <x:f>SUM(Orcamento!F7:F8)</x:f>
        <x:v>1259.86</x:v>
      </x:c>
      <x:c r="D7" s="14" t="n">
        <x:f>C7-B7</x:f>
        <x:v>629.93</x:v>
      </x:c>
    </x:row>
    <x:row r="8" ht="34" customHeight="1">
      <x:c r="A8" t="str">
        <x:v>Argamassa, espaçadores, selante e perfis</x:v>
      </x:c>
      <x:c r="B8" s="14" t="n">
        <x:v>0</x:v>
      </x:c>
      <x:c r="C8" s="14" t="n">
        <x:f>SUM(Orcamento!F9:F12)</x:f>
        <x:v>865</x:v>
      </x:c>
      <x:c r="D8" s="14" t="n">
        <x:f>C8-B8</x:f>
        <x:v>865</x:v>
      </x:c>
    </x:row>
    <x:row r="9" ht="34" customHeight="1">
      <x:c r="A9" t="str">
        <x:v>Subtotal comparável de revestimentos</x:v>
      </x:c>
      <x:c r="B9" s="14" t="n">
        <x:f>SUM(B5:B8)</x:f>
        <x:v>6137.77</x:v>
      </x:c>
      <x:c r="C9" s="14" t="n">
        <x:f>SUM(C5:C8)</x:f>
        <x:v>9978.630000000001</x:v>
      </x:c>
      <x:c r="D9" s="14" t="n">
        <x:f>C9-B9</x:f>
        <x:v>3840.8600000000006</x:v>
      </x:c>
    </x:row>
    <x:row r="10" ht="34" customHeight="1">
      <x:c r="A10" t="str">
        <x:v>Bleu Nuit — preço por m²</x:v>
      </x:c>
      <x:c r="B10" s="14" t="n">
        <x:v>339.99</x:v>
      </x:c>
      <x:c r="C10" s="14" t="n">
        <x:v>339.99</x:v>
      </x:c>
      <x:c r="D10" s="14" t="n">
        <x:f>C10-B10</x:f>
        <x:v>0</x:v>
      </x:c>
    </x:row>
    <x:row r="13">
      <x:c r="A13" t="str">
        <x:v>Diferença no Bleu: 16 caixas adicionais (4,80 m²), não aumento do preço por m².</x:v>
      </x:c>
    </x:row>
    <x:row r="14">
      <x:c r="A14" t="str">
        <x:v>70 caixas = peças recortadas sem reaproveitamento + 10% reserva. É previsão conservadora.</x:v>
      </x:c>
    </x:row>
    <x:row r="15">
      <x:c r="A15" t="str">
        <x:v>A proposta oficial cotou 54 caixas. Não há comprovação de que atendam à paginação atual.</x:v>
      </x:c>
    </x:row>
    <x:row r="16">
      <x:c r="A16" t="str">
        <x:v>Nuage: preço estimado igual ao Bleu; falta cotação específica.</x:v>
      </x:c>
    </x:row>
    <x:row r="17">
      <x:c r="A17" t="str">
        <x:v>Rejunte: 14 kg estimados contra 7 kg oficiais; consumo e cor ainda precisam de validação.</x:v>
      </x:c>
    </x:row>
    <x:row r="18">
      <x:c r="A18" t="str">
        <x:v>Fonte: proposta 05310148, 13/10/2026, arquivo sem sufixo, válida até 31/10/2026.</x:v>
      </x:c>
    </x:row>
    <x:row r="19">
      <x:c r="A19" t="str">
        <x:v>A proposta também contém alternativas/sala: não integram esta comparação. Frete excluído.</x:v>
      </x:c>
    </x:row>
  </x:sheetData>
  <x:pageMargins left="0.7" right="0.7" top="0.75" bottom="0.75" header="0.3" footer="0.3"/>
</x:worksheet>
</file>