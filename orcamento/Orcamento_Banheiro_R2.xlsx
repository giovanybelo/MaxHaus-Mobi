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o" sheetId="1" state="visible" r:id="rId3"/>
    <sheet name="Orcamento" sheetId="2" state="visible" r:id="rId4"/>
    <sheet name="Quantidades" sheetId="3" state="visible" r:id="rId5"/>
    <sheet name="Paredes" sheetId="4" state="visible" r:id="rId6"/>
    <sheet name="Premissas" sheetId="5" state="visible" r:id="rId7"/>
    <sheet name="Comparacao PB" sheetId="6" state="visible" r:id="rId8"/>
    <sheet name="Revisao R2" sheetId="7" state="visible" r:id="rId9"/>
    <sheet name="Sobreposicoes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<sst xmlns="http://schemas.openxmlformats.org/spreadsheetml/2006/main" count="435" uniqueCount="289">
  <si>
    <t xml:space="preserve">Banheiro | materiais e peças</t>
  </si>
  <si>
    <t xml:space="preserve">MAXHAUS | R2 | 25/10/2026 | valores em R$ | conferir em obra</t>
  </si>
  <si>
    <t xml:space="preserve">Categoria</t>
  </si>
  <si>
    <t xml:space="preserve">Total R$</t>
  </si>
  <si>
    <t xml:space="preserve">Revestimentos</t>
  </si>
  <si>
    <t xml:space="preserve">Louças e metais</t>
  </si>
  <si>
    <t xml:space="preserve">Ralos e esgoto</t>
  </si>
  <si>
    <t xml:space="preserve">Água quente/fria</t>
  </si>
  <si>
    <t xml:space="preserve">Impermeabilização</t>
  </si>
  <si>
    <t xml:space="preserve">Subtotal</t>
  </si>
  <si>
    <t xml:space="preserve">Contingência</t>
  </si>
  <si>
    <t xml:space="preserve">Reserva financeira R$</t>
  </si>
  <si>
    <t xml:space="preserve">Total com contingência</t>
  </si>
  <si>
    <t xml:space="preserve">Excluídos: piso Monofloor Everest, elétrica/iluminação, mão de obra, argamassa colante (empreiteira), logística (frete, entrega e subida no condomínio, caçamba de entulho) e pintura da faixa de 38 mm acima do revestimento.</t>
  </si>
  <si>
    <t xml:space="preserve">Reserva de 15% apresentada à parte; não é custo contratado.</t>
  </si>
  <si>
    <t xml:space="preserve">Preço cotado = apenas Bleu Nuit; demais preços: web, referência ou estimativa.</t>
  </si>
  <si>
    <t xml:space="preserve">Orçamento restrito ao banheiro. Hídrica/cozinha excluído.</t>
  </si>
  <si>
    <t xml:space="preserve">R2: paginação refeita (peças inteiras, topo a 2.353 mm, pontas simétricas), compra por área + 10%, argamassa com a empreiteira, impermeabilização incluída e sobreposições resolvidas.</t>
  </si>
  <si>
    <t xml:space="preserve">Orçamento detalhado</t>
  </si>
  <si>
    <t xml:space="preserve">Grupo</t>
  </si>
  <si>
    <t xml:space="preserve">Item</t>
  </si>
  <si>
    <t xml:space="preserve">Un.</t>
  </si>
  <si>
    <t xml:space="preserve">Quantidade</t>
  </si>
  <si>
    <t xml:space="preserve">R$/un.</t>
  </si>
  <si>
    <t xml:space="preserve">Origem preço</t>
  </si>
  <si>
    <t xml:space="preserve">Critério / pendência</t>
  </si>
  <si>
    <t xml:space="preserve">Fonte</t>
  </si>
  <si>
    <t xml:space="preserve">Gouache Bleu Nuit 7,5x15,5 BR BOLD</t>
  </si>
  <si>
    <t xml:space="preserve">cx</t>
  </si>
  <si>
    <t xml:space="preserve">Cotado</t>
  </si>
  <si>
    <t xml:space="preserve">Área revestida 16,95 m² + 10% = 18,65 m², caixa de 0,30 m² / 26 peças. Cobre as 1480 peças físicas da paginação R2 com 11% de folga.</t>
  </si>
  <si>
    <t xml:space="preserve">Proposta Portobello 05310148, 13/10/2026, arquivo sem sufixo; validade 31/10/2026</t>
  </si>
  <si>
    <t xml:space="preserve">Gouache Nuage 7,5x15,5 BR BOLD</t>
  </si>
  <si>
    <t xml:space="preserve">Estimativa</t>
  </si>
  <si>
    <t xml:space="preserve">Área 1,73 m² (acentos + bancada) + 10% = 1,90 m². Cobre as 152 peças físicas com 20% de folga. Preço provisório igual ao Bleu; cotar.</t>
  </si>
  <si>
    <t xml:space="preserve">Rejunte acrílico Pleno paredes, cor a aprovar</t>
  </si>
  <si>
    <t xml:space="preserve">kg</t>
  </si>
  <si>
    <t xml:space="preserve">Referência</t>
  </si>
  <si>
    <t xml:space="preserve">Preço do Dansk na proposta; cor Moon sugerida no catálogo. Azul escuro exige amostra/aprovação.</t>
  </si>
  <si>
    <t xml:space="preserve">Rejunte acrílico Pleno Blanc bancada</t>
  </si>
  <si>
    <t xml:space="preserve">Preço de outra cor; confirmar preço Blanc e adequação ao tampo.</t>
  </si>
  <si>
    <t xml:space="preserve">Argamassa colante compatível, saco 20 kg</t>
  </si>
  <si>
    <t xml:space="preserve">saco</t>
  </si>
  <si>
    <t xml:space="preserve">Contratado</t>
  </si>
  <si>
    <t xml:space="preserve">Fornecida pela empreiteira (contrato fechado). Referência de consumo: 5 kg/m² × 18,68 m² ≈ 93 kg; produto compatível com a impermeabilização.</t>
  </si>
  <si>
    <t xml:space="preserve">Estimativa de planejamento; substituir por cotação de instalador em São Paulo</t>
  </si>
  <si>
    <t xml:space="preserve">Espaçadores 2 mm, pacote 500</t>
  </si>
  <si>
    <t xml:space="preserve">pct</t>
  </si>
  <si>
    <t xml:space="preserve">Selante sanitário neutro compatível, 280 ml</t>
  </si>
  <si>
    <t xml:space="preserve">un</t>
  </si>
  <si>
    <t xml:space="preserve">Encontros, louça e perímetros; não substituir rejunte rígido em junta de movimento.</t>
  </si>
  <si>
    <t xml:space="preserve">Perfis de acabamento: topo do revestimento a 2.353 mm e bordas/cantos</t>
  </si>
  <si>
    <t xml:space="preserve">m</t>
  </si>
  <si>
    <t xml:space="preserve">Topo: 8,02 m (perímetro das paredes P1–P6) + 4 m de bordas e cantos; perfil reto inox/alumínio para borda de peça de 9 mm. Cantos a 45° dependem de ensaio de corte.</t>
  </si>
  <si>
    <t xml:space="preserve">Cuba Ametista 16 branca Duramatt</t>
  </si>
  <si>
    <t xml:space="preserve">Preço web</t>
  </si>
  <si>
    <t xml:space="preserve">Confirmar estoque e válvula inclusa antes de comprar.</t>
  </si>
  <si>
    <t xml:space="preserve">https://bellobanho.com.br/produtos/cuba-de-apoio-ametista-16-duramatt-branca-1dfq0/</t>
  </si>
  <si>
    <t xml:space="preserve">Bica de parede aço escovado 200 mm</t>
  </si>
  <si>
    <t xml:space="preserve">Alternativa funcional para dois registros; anúncio tem título aço e descrição preto. Confirmar SKU/acabamento.</t>
  </si>
  <si>
    <t xml:space="preserve">https://www.leroymerlin.com.br/bica-para-banheira-aco-escovado_1572794948</t>
  </si>
  <si>
    <t xml:space="preserve">Registros Round acabamentos quente/frio</t>
  </si>
  <si>
    <t xml:space="preserve">Modelo SKP não identifica SKU de compra. Preço provisório; duas bases compatíveis incluídas abaixo.</t>
  </si>
  <si>
    <t xml:space="preserve">Bases completas para misturador de parede 3 furos</t>
  </si>
  <si>
    <t xml:space="preserve">cj</t>
  </si>
  <si>
    <t xml:space="preserve">Não adaptar cegamente a Royale monocomando. Conjunto de bases, união de mistura e bica deve ser homologado junto.</t>
  </si>
  <si>
    <t xml:space="preserve">Bracci Aria B09048BN acabamento chuveiro</t>
  </si>
  <si>
    <t xml:space="preserve">Acabamento apenas: confirmar base DECA exata / conversor DOCOL.</t>
  </si>
  <si>
    <t xml:space="preserve">https://www.bracci.com.br/products/acabamento-monoc-chuveiro-aria-aco-escovado</t>
  </si>
  <si>
    <t xml:space="preserve">Base monocomando chuveiro compatível</t>
  </si>
  <si>
    <t xml:space="preserve">Provisão; retirar se base existente comprovadamente compatível e em bom estado.</t>
  </si>
  <si>
    <t xml:space="preserve">Bracci B09052BN chuveiro teto</t>
  </si>
  <si>
    <t xml:space="preserve">Preço cartão; conferir vazão/pressão e composição do kit.</t>
  </si>
  <si>
    <t xml:space="preserve">https://www.bracci.com.br/products/chuveiro-de-teto-aria-aco-escovado</t>
  </si>
  <si>
    <t xml:space="preserve">Bracci B09074BN porta-papel</t>
  </si>
  <si>
    <t xml:space="preserve">Disponível em breve na consulta. Modelo BGH recolorido não muda SKU de compra.</t>
  </si>
  <si>
    <t xml:space="preserve">https://www.bracci.com.br/products/porta-papel-higienico-aria-aco-escovado</t>
  </si>
  <si>
    <t xml:space="preserve">Bracci B09075BN gancho</t>
  </si>
  <si>
    <t xml:space="preserve">Esgotado na loja oficial; consultar revenda.</t>
  </si>
  <si>
    <t xml:space="preserve">https://www.bracci.com.br/products/gancho-simples-aria-aco-escovado</t>
  </si>
  <si>
    <t xml:space="preserve">Bracci Aria toalheiro de rosto aço escovado</t>
  </si>
  <si>
    <t xml:space="preserve">Posição proposta junto à bancada, fora do giro da porta; validar interferências.</t>
  </si>
  <si>
    <t xml:space="preserve">https://www.bracci.com.br/products/toalheiro-rosto-aria-aco-escovado</t>
  </si>
  <si>
    <t xml:space="preserve">Aiello Unique Solo inox escovado fio oculto</t>
  </si>
  <si>
    <t xml:space="preserve">Variante 47080769945771: botão; não presumir timer incluso.</t>
  </si>
  <si>
    <t xml:space="preserve">https://grupoaiello.com.br/products/toalheiro-termico-unique-solo?variant=47080769945771</t>
  </si>
  <si>
    <t xml:space="preserve">Ralo linear box 720 mm completo</t>
  </si>
  <si>
    <t xml:space="preserve">Provisão para tamanho de projeto; link é 600 mm / R$199,00, não serve como cotação de 720 mm.</t>
  </si>
  <si>
    <t xml:space="preserve">Ralo seco externo quadrado oculto 100x100 mm</t>
  </si>
  <si>
    <t xml:space="preserve">Proposta de formato para ao lado do vaso; tampa removível, caixa e saída a verificar.</t>
  </si>
  <si>
    <t xml:space="preserve">Sifão rígido para cuba, compatível</t>
  </si>
  <si>
    <t xml:space="preserve">Confirmar medida real da válvula e saída existente.</t>
  </si>
  <si>
    <t xml:space="preserve">Vedação/anel e fixação para reinstalar vaso</t>
  </si>
  <si>
    <t xml:space="preserve">Engate flexível certificado vaso</t>
  </si>
  <si>
    <t xml:space="preserve">Comprimento preliminar 40 cm; medir. Não embutir engate.</t>
  </si>
  <si>
    <t xml:space="preserve">PVC esgoto DN50, tubos</t>
  </si>
  <si>
    <t xml:space="preserve">Reserva, traçado/cotas de fundo não levantados; diâmetro depende dos ralos.</t>
  </si>
  <si>
    <t xml:space="preserve">PVC esgoto DN40 para cuba</t>
  </si>
  <si>
    <t xml:space="preserve">Joelhos/luvas/junções esgoto compatíveis</t>
  </si>
  <si>
    <t xml:space="preserve">Contagem provisória: lista final após abertura.</t>
  </si>
  <si>
    <t xml:space="preserve">Adesivo, solução limpadora, anéis esgoto</t>
  </si>
  <si>
    <t xml:space="preserve">CPVC água quente, tubos e sobra</t>
  </si>
  <si>
    <t xml:space="preserve">Reserva de compra, não comprimento medido; diâmetro a dimensionar por pressão/vazão.</t>
  </si>
  <si>
    <t xml:space="preserve">Isolamento térmico do ramal quente</t>
  </si>
  <si>
    <t xml:space="preserve">Tês de derivação sistema existente</t>
  </si>
  <si>
    <t xml:space="preserve">Joelhos CPVC</t>
  </si>
  <si>
    <t xml:space="preserve">Luvas/transições roscadas metálicas</t>
  </si>
  <si>
    <t xml:space="preserve">Registro de isolamento acessível</t>
  </si>
  <si>
    <t xml:space="preserve">Adesivo CPVC e consumíveis</t>
  </si>
  <si>
    <t xml:space="preserve">Abraçadeiras, suportes e veda-rosca</t>
  </si>
  <si>
    <t xml:space="preserve">Impermeabilizante cimentício flexível, balde 18 kg (ref. Quartzolit Tecplus Lastic)</t>
  </si>
  <si>
    <t xml:space="preserve">bd</t>
  </si>
  <si>
    <t xml:space="preserve">12 m² (piso, box até 2.400 mm, rodapé técnico, bancada e nicho) × cerca de 3,5 kg/m² + 10% ≈ 46 kg. Sistema, demãos e consumo a validar com fabricante e aplicador.</t>
  </si>
  <si>
    <t xml:space="preserve">https://www.telhanorte.com.br/impermeabilizante-quartzolit-18kg-cinza-tecplus-lastic-1619934/p</t>
  </si>
  <si>
    <t xml:space="preserve">Tela estruturante de poliéster 73 cm × 10 m</t>
  </si>
  <si>
    <t xml:space="preserve">rl</t>
  </si>
  <si>
    <t xml:space="preserve">Reforço em cantos, encontro piso/parede, ralos R1 e R2, flanges e passagens (cerca de 25 m de faixa).</t>
  </si>
  <si>
    <t xml:space="preserve">https://www.telhanorte.com.br/tela-estruturante-quartzolit-1751182/p?skuId=1751182</t>
  </si>
  <si>
    <t xml:space="preserve">Memória de compra</t>
  </si>
  <si>
    <t xml:space="preserve">Material / parâmetro</t>
  </si>
  <si>
    <t xml:space="preserve">Peças físicas</t>
  </si>
  <si>
    <t xml:space="preserve">Área revestida m²</t>
  </si>
  <si>
    <t xml:space="preserve">Reserva</t>
  </si>
  <si>
    <t xml:space="preserve">m² compra</t>
  </si>
  <si>
    <t xml:space="preserve">m²/cx</t>
  </si>
  <si>
    <t xml:space="preserve">Caixas</t>
  </si>
  <si>
    <t xml:space="preserve">Peças/cx</t>
  </si>
  <si>
    <t xml:space="preserve">Peças compradas</t>
  </si>
  <si>
    <t xml:space="preserve">Folga sobre peças</t>
  </si>
  <si>
    <t xml:space="preserve">Gouache Bleu Nuit</t>
  </si>
  <si>
    <t xml:space="preserve">Gouache Nuage</t>
  </si>
  <si>
    <t xml:space="preserve">Área piso banheiro m²</t>
  </si>
  <si>
    <t xml:space="preserve">Paredes e nicho m²</t>
  </si>
  <si>
    <t xml:space="preserve">Tampo e bordas m²</t>
  </si>
  <si>
    <t xml:space="preserve">Junta nominal mm</t>
  </si>
  <si>
    <t xml:space="preserve">Impermeabilização m² (fora do orçamento)</t>
  </si>
  <si>
    <t xml:space="preserve">Altura revestida mm (15 fiadas inteiras)</t>
  </si>
  <si>
    <t xml:space="preserve">Compra = área revestida × (1 + reserva), arredondada para caixa fechada. Conferida contra as peças físicas: cada peça cortada consome uma peça.</t>
  </si>
  <si>
    <t xml:space="preserve">Calibre real do lote difere do nominal (Nuage 76,5 × 155,5): refazer a paginação com a peça medida antes de cortar.</t>
  </si>
  <si>
    <t xml:space="preserve">Superfícies e peças de origem</t>
  </si>
  <si>
    <t xml:space="preserve">ID</t>
  </si>
  <si>
    <t xml:space="preserve">Superfície</t>
  </si>
  <si>
    <t xml:space="preserve">Largura mm</t>
  </si>
  <si>
    <t xml:space="preserve">Altura mm</t>
  </si>
  <si>
    <t xml:space="preserve">Área Bleu m²</t>
  </si>
  <si>
    <t xml:space="preserve">Área Nuage m²</t>
  </si>
  <si>
    <t xml:space="preserve">Peças Bleu</t>
  </si>
  <si>
    <t xml:space="preserve">Peças Nuage</t>
  </si>
  <si>
    <t xml:space="preserve">Peças inteiras</t>
  </si>
  <si>
    <t xml:space="preserve">Peças cortadas</t>
  </si>
  <si>
    <t xml:space="preserve">Corte das pontas mm</t>
  </si>
  <si>
    <t xml:space="preserve">P1</t>
  </si>
  <si>
    <t xml:space="preserve">Fundo do box / nicho</t>
  </si>
  <si>
    <t xml:space="preserve">P2</t>
  </si>
  <si>
    <t xml:space="preserve">Lateral do box / área técnica</t>
  </si>
  <si>
    <t xml:space="preserve">P3</t>
  </si>
  <si>
    <t xml:space="preserve">Parede da bancada e espelho</t>
  </si>
  <si>
    <t xml:space="preserve">P4</t>
  </si>
  <si>
    <t xml:space="preserve">Parede da porta</t>
  </si>
  <si>
    <t xml:space="preserve">P5</t>
  </si>
  <si>
    <t xml:space="preserve">Parede do vaso sanitário</t>
  </si>
  <si>
    <t xml:space="preserve">P6</t>
  </si>
  <si>
    <t xml:space="preserve">Retorno da área técnica</t>
  </si>
  <si>
    <t xml:space="preserve">N1</t>
  </si>
  <si>
    <t xml:space="preserve">Nicho / fundo</t>
  </si>
  <si>
    <t xml:space="preserve">—</t>
  </si>
  <si>
    <t xml:space="preserve">N2</t>
  </si>
  <si>
    <t xml:space="preserve">Nicho / lateral esquerda</t>
  </si>
  <si>
    <t xml:space="preserve">N3</t>
  </si>
  <si>
    <t xml:space="preserve">Nicho / lateral direita</t>
  </si>
  <si>
    <t xml:space="preserve">N4</t>
  </si>
  <si>
    <t xml:space="preserve">Nicho / base</t>
  </si>
  <si>
    <t xml:space="preserve">N5</t>
  </si>
  <si>
    <t xml:space="preserve">Nicho / teto</t>
  </si>
  <si>
    <t xml:space="preserve">B1</t>
  </si>
  <si>
    <t xml:space="preserve">Bancada / tampo</t>
  </si>
  <si>
    <t xml:space="preserve">B2</t>
  </si>
  <si>
    <t xml:space="preserve">Bancada / borda frontal</t>
  </si>
  <si>
    <t xml:space="preserve">B3</t>
  </si>
  <si>
    <t xml:space="preserve">Bancada / borda sul</t>
  </si>
  <si>
    <t xml:space="preserve">B4</t>
  </si>
  <si>
    <t xml:space="preserve">Bancada / borda norte</t>
  </si>
  <si>
    <t xml:space="preserve">R2: paredes até 2.353 mm (15 fiadas inteiras), pontas simétricas no eixo, nicho e porta preservados. Nicho mantém 1000 × 400 × 118 mm. Área Nuage = acentos (peça 75 × 155) + bancada.</t>
  </si>
  <si>
    <t xml:space="preserve">Condições de uso e fontes</t>
  </si>
  <si>
    <t xml:space="preserve">Tema</t>
  </si>
  <si>
    <t xml:space="preserve">Critério / decisão</t>
  </si>
  <si>
    <t xml:space="preserve">Status</t>
  </si>
  <si>
    <t xml:space="preserve">Caderno de coordenação: não liberado para obra antes da conferência de campo e validação do responsável técnico.</t>
  </si>
  <si>
    <t xml:space="preserve">Projeto</t>
  </si>
  <si>
    <t xml:space="preserve">R47; paredes Bleu Nuit com detalhes Nuage e tampo Nuage 7,5 × 15,5 cm. Paginação R2 no caderno técnico R1.</t>
  </si>
  <si>
    <t xml:space="preserve">Contagem</t>
  </si>
  <si>
    <t xml:space="preserve">Peças e recortes em Mapa_pecas_recortes.csv. Não somar área de cada fragmento: coluna de área é da peça de origem.</t>
  </si>
  <si>
    <t xml:space="preserve">Preços</t>
  </si>
  <si>
    <t xml:space="preserve">Consultados em 25/10/2026; frete e estoque a confirmar; preços de planejamento não são proposta de fornecedor.</t>
  </si>
  <si>
    <t xml:space="preserve">Proposta Portobello</t>
  </si>
  <si>
    <t xml:space="preserve">05310148 de 13/10/2026; válida até 31/10/2026. Bleu Nuit 339,99/m². Não somar alternativas Terralma nem produtos da sala.</t>
  </si>
  <si>
    <t xml:space="preserve">Rejunte</t>
  </si>
  <si>
    <t xml:space="preserve">2 mm solicitado; catálogo indica 1,5 mm. Acrílico azul escuro comercial não confirmado; aprovar amostra/SKU, não comprar como Dansk.</t>
  </si>
  <si>
    <t xml:space="preserve">Calibre</t>
  </si>
  <si>
    <t xml:space="preserve">Nuage: tamanho de fabricação informado 76,5 × 155,5 mm; rever paginação nominal 75 × 155 antes de cortar.</t>
  </si>
  <si>
    <t xml:space="preserve">Tampo</t>
  </si>
  <si>
    <t xml:space="preserve">Altura acabada máxima 840 mm; confirmar fabricante permite revestimento em superfície horizontal.</t>
  </si>
  <si>
    <t xml:space="preserve">Hidráulica</t>
  </si>
  <si>
    <t xml:space="preserve">Diâmetros, conexões e metragens provisórios; confirmar pressão, traçado, base monocomando, capacidade do aquecedor e cotas de esgoto.</t>
  </si>
  <si>
    <t xml:space="preserve">Metais</t>
  </si>
  <si>
    <t xml:space="preserve">Bracci aço escovado, Aiello inox escovado e bica de outro fabricante não garantem identidade de tonalidade. Comparar amostras.</t>
  </si>
  <si>
    <t xml:space="preserve">Alternativas excluídas</t>
  </si>
  <si>
    <t xml:space="preserve">Royale monocomando 527,00 não somada com conjunto bica + 2 Round. Extensor de fixação 36,75 e tubo de descarga 272,87 não somados.</t>
  </si>
  <si>
    <t xml:space="preserve">Ralos</t>
  </si>
  <si>
    <t xml:space="preserve">720 mm no box. Link fornecido tem 600 mm; orçamento 720 mm provisório. Externo proposto 100 × 100 mm, localização a medir.</t>
  </si>
  <si>
    <t xml:space="preserve">Iluminação</t>
  </si>
  <si>
    <t xml:space="preserve">Perfil frontal 1,65 m proposto; conferir volumes, proteção, circuitos e instalação de fonte acessível.</t>
  </si>
  <si>
    <t xml:space="preserve">Monofloor</t>
  </si>
  <si>
    <t xml:space="preserve">Everest: confirmar sistema adequado para box, impermeabilização, aderência e mínimo de contratação.</t>
  </si>
  <si>
    <t xml:space="preserve">Compra</t>
  </si>
  <si>
    <t xml:space="preserve">Área revestida × 1,10, arredondada para caixa fechada; conferida contra as peças físicas da paginação. Compatibilizar bases, válvula/sifão, fixações e garantia antes da compra.</t>
  </si>
  <si>
    <t xml:space="preserve">Paginação R2</t>
  </si>
  <si>
    <t xml:space="preserve">15 fiadas inteiras desde o piso; revestimento termina em 2.353 mm com perfil, faixa até o teto em pintura. Colunas simétricas no eixo com o maior número de peças inteiras e pontas ≥ 40% da peça. Nicho e porta preservados.</t>
  </si>
  <si>
    <t xml:space="preserve">Alternativa</t>
  </si>
  <si>
    <t xml:space="preserve">Revestir até 2.391 mm exige fiada de 36 mm em todas as paredes (107 tiras, cerca de 27 peças) e +1 caixa de Bleu Nuit.</t>
  </si>
  <si>
    <t xml:space="preserve">Portobello | mesma tarifa, quantidades diferentes</t>
  </si>
  <si>
    <t xml:space="preserve">Componente</t>
  </si>
  <si>
    <t xml:space="preserve">Proposta oficial R$</t>
  </si>
  <si>
    <t xml:space="preserve">R2 R$</t>
  </si>
  <si>
    <t xml:space="preserve">Diferença R$</t>
  </si>
  <si>
    <t xml:space="preserve">Bleu Nuit: oficial 16,20 m² / R2 18,90 m²</t>
  </si>
  <si>
    <t xml:space="preserve">Nuage: não cotado / R2 2,10 m²</t>
  </si>
  <si>
    <t xml:space="preserve">Rejunte: oficial 7 kg / estudo 14 kg</t>
  </si>
  <si>
    <t xml:space="preserve">Espaçadores, selante e perfis (argamassa: empreiteira)</t>
  </si>
  <si>
    <t xml:space="preserve">Subtotal comparável de revestimentos</t>
  </si>
  <si>
    <t xml:space="preserve">Bleu Nuit — preço por m²</t>
  </si>
  <si>
    <t xml:space="preserve">Diferença no Bleu: 9 caixas a mais que a proposta oficial (2,70 m²), não aumento do preço por m².</t>
  </si>
  <si>
    <t xml:space="preserve">63 caixas = área revestida 16,95 m² + 10%, por caixa fechada. R1 previa 70 caixas (peça cortada + 10%).</t>
  </si>
  <si>
    <t xml:space="preserve">A proposta oficial cotou 54 caixas. Não há comprovação de que atendam à paginação atual.</t>
  </si>
  <si>
    <t xml:space="preserve">Nuage: preço estimado igual ao Bleu; falta cotação específica.</t>
  </si>
  <si>
    <t xml:space="preserve">Rejunte: 14 kg estimados contra 7 kg oficiais; consumo e cor ainda precisam de validação.</t>
  </si>
  <si>
    <t xml:space="preserve">Fonte: proposta 05310148, 13/10/2026, arquivo sem sufixo, válida até 31/10/2026.</t>
  </si>
  <si>
    <t xml:space="preserve">A proposta também contém alternativas/sala: não integram esta comparação. Frete excluído.</t>
  </si>
  <si>
    <t xml:space="preserve">O que mudou do R1 para o R2</t>
  </si>
  <si>
    <t xml:space="preserve">R1</t>
  </si>
  <si>
    <t xml:space="preserve">R2</t>
  </si>
  <si>
    <t xml:space="preserve">Diferença</t>
  </si>
  <si>
    <t xml:space="preserve">Por quê</t>
  </si>
  <si>
    <t xml:space="preserve">Bleu Nuit, caixas</t>
  </si>
  <si>
    <t xml:space="preserve">Compra por área + 10% e paginação com mais peças inteiras</t>
  </si>
  <si>
    <t xml:space="preserve">Nuage, caixas</t>
  </si>
  <si>
    <t xml:space="preserve">Mesmos 152 acentos e bancada</t>
  </si>
  <si>
    <t xml:space="preserve">Peças físicas Bleu</t>
  </si>
  <si>
    <t xml:space="preserve">Sem fiada de 36 mm no topo e com pontas simétricas</t>
  </si>
  <si>
    <t xml:space="preserve">Peças físicas Nuage</t>
  </si>
  <si>
    <t xml:space="preserve">Perfis de acabamento, m</t>
  </si>
  <si>
    <t xml:space="preserve">Perfil no topo do revestimento (8,02 m)</t>
  </si>
  <si>
    <t xml:space="preserve">Argamassa colante, R$</t>
  </si>
  <si>
    <t xml:space="preserve">Passa para a empreiteira (já contratada)</t>
  </si>
  <si>
    <t xml:space="preserve">Revestimentos, R$</t>
  </si>
  <si>
    <t xml:space="preserve">Impermeabilização, R$</t>
  </si>
  <si>
    <t xml:space="preserve">Incluída no R2: 3 baldes de 18 kg e 1 rolo de tela</t>
  </si>
  <si>
    <t xml:space="preserve">Subtotal, R$</t>
  </si>
  <si>
    <t xml:space="preserve">Total com contingência, R$</t>
  </si>
  <si>
    <t xml:space="preserve">Contingência de 15% mantida</t>
  </si>
  <si>
    <t xml:space="preserve">Itens que se sobrepõem: decisão do R2</t>
  </si>
  <si>
    <t xml:space="preserve">Função</t>
  </si>
  <si>
    <t xml:space="preserve">Opção mantida</t>
  </si>
  <si>
    <t xml:space="preserve">R$ mantido</t>
  </si>
  <si>
    <t xml:space="preserve">Opção descartada</t>
  </si>
  <si>
    <t xml:space="preserve">R$ descartado</t>
  </si>
  <si>
    <t xml:space="preserve">Ralo linear do box</t>
  </si>
  <si>
    <t xml:space="preserve">Ralo linear 720 mm completo</t>
  </si>
  <si>
    <t xml:space="preserve">Ralo linear 600 × 90 mm do link</t>
  </si>
  <si>
    <t xml:space="preserve">Projeto pede 720 mm. O de 600 mm não atende à medida e tem menor valor: descartado.</t>
  </si>
  <si>
    <t xml:space="preserve">Misturador da bancada</t>
  </si>
  <si>
    <t xml:space="preserve">Bica 200 mm + 2 registros Round + bases 3 furos</t>
  </si>
  <si>
    <t xml:space="preserve">Royale monocomando 21 cm</t>
  </si>
  <si>
    <t xml:space="preserve">O modelo desenha bica e dois comandos (3 furos). Royale é monocomando de 2 furos: não atende e tem menor valor.</t>
  </si>
  <si>
    <t xml:space="preserve">Ligação do vaso</t>
  </si>
  <si>
    <t xml:space="preserve">Engate flexível certificado</t>
  </si>
  <si>
    <t xml:space="preserve">Tubo de ligação 1½"</t>
  </si>
  <si>
    <t xml:space="preserve">Vaso com caixa acoplada: o tubo de 1½" é para válvula de descarga e não atende. Mantido o engate, mesmo com valor menor.</t>
  </si>
  <si>
    <t xml:space="preserve">Fixação da torneira</t>
  </si>
  <si>
    <t xml:space="preserve">Fixação do gabarito do fabricante</t>
  </si>
  <si>
    <t xml:space="preserve">Rosca longa 12 cm</t>
  </si>
  <si>
    <t xml:space="preserve">Só comprar se o gabarito real exigir. Fora do orçamento.</t>
  </si>
  <si>
    <t xml:space="preserve">Argamassa colante</t>
  </si>
  <si>
    <t xml:space="preserve">Empreiteira (contratada)</t>
  </si>
  <si>
    <t xml:space="preserve">Argamassa no orçamento de materiais</t>
  </si>
  <si>
    <t xml:space="preserve">Fornecida pela empreiteira: não somar duas vezes.</t>
  </si>
  <si>
    <t xml:space="preserve">Toalheiros</t>
  </si>
  <si>
    <t xml:space="preserve">Aiello térmico + Bracci de rosto</t>
  </si>
  <si>
    <t xml:space="preserve">Não é sobreposição: o térmico é para toalha de banho junto ao box; o de rosto fica junto à bancada. Se quiser um só, sai o Bracci (−R$ 433,65).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</si>
</sst>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R$ &quot;#,##0.00"/>
    <numFmt numFmtId="166" formatCode="0%"/>
    <numFmt numFmtId="167" formatCode="#,##0.00"/>
    <numFmt numFmtId="168" formatCode="0.00"/>
    <numFmt numFmtId="169" formatCode="0"/>
    <numFmt numFmtId="170" formatCode="0.0%"/>
    <numFmt numFmtId="171" formatCode="0.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8"/>
      <color rgb="FF17394E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color rgb="FF0000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94E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2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0" xfId="2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94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22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30" hidden="false" customHeight="true" outlineLevel="0" collapsed="false">
      <c r="A4" s="2" t="s">
        <v>2</v>
      </c>
      <c r="B4" s="2" t="s">
        <v>3</v>
      </c>
    </row>
    <row r="5" customFormat="false" ht="15" hidden="false" customHeight="false" outlineLevel="0" collapsed="false">
      <c r="A5" s="0" t="s">
        <v>4</v>
      </c>
      <c r="B5" s="3" t="n">
        <f aca="false">SUMIF(Orcamento!A5:A60,A5,Orcamento!F5:F60)</f>
        <v>9524.65</v>
      </c>
    </row>
    <row r="6" customFormat="false" ht="15" hidden="false" customHeight="false" outlineLevel="0" collapsed="false">
      <c r="A6" s="0" t="s">
        <v>5</v>
      </c>
      <c r="B6" s="3" t="n">
        <f aca="false">SUMIF(Orcamento!A5:A60,A6,Orcamento!F5:F60)</f>
        <v>8060.22</v>
      </c>
    </row>
    <row r="7" customFormat="false" ht="15" hidden="false" customHeight="false" outlineLevel="0" collapsed="false">
      <c r="A7" s="0" t="s">
        <v>6</v>
      </c>
      <c r="B7" s="3" t="n">
        <f aca="false">SUMIF(Orcamento!A5:A60,A7,Orcamento!F5:F60)</f>
        <v>1173</v>
      </c>
    </row>
    <row r="8" customFormat="false" ht="15" hidden="false" customHeight="false" outlineLevel="0" collapsed="false">
      <c r="A8" s="0" t="s">
        <v>7</v>
      </c>
      <c r="B8" s="3" t="n">
        <f aca="false">SUMIF(Orcamento!A5:A60,A8,Orcamento!F5:F60)</f>
        <v>812</v>
      </c>
    </row>
    <row r="9" customFormat="false" ht="15" hidden="false" customHeight="false" outlineLevel="0" collapsed="false">
      <c r="A9" s="0" t="s">
        <v>8</v>
      </c>
      <c r="B9" s="3" t="n">
        <f aca="false">SUMIF(Orcamento!A5:A60,A9,Orcamento!F5:F60)</f>
        <v>667.6</v>
      </c>
    </row>
    <row r="10" customFormat="false" ht="15" hidden="false" customHeight="false" outlineLevel="0" collapsed="false">
      <c r="A10" s="0" t="s">
        <v>9</v>
      </c>
      <c r="B10" s="3" t="n">
        <f aca="false">SUM(B5:B9)</f>
        <v>20237.47</v>
      </c>
    </row>
    <row r="11" customFormat="false" ht="15" hidden="false" customHeight="false" outlineLevel="0" collapsed="false">
      <c r="A11" s="0" t="s">
        <v>10</v>
      </c>
      <c r="B11" s="4" t="n">
        <v>0.15</v>
      </c>
    </row>
    <row r="12" customFormat="false" ht="15" hidden="false" customHeight="false" outlineLevel="0" collapsed="false">
      <c r="A12" s="0" t="s">
        <v>11</v>
      </c>
      <c r="B12" s="3" t="n">
        <f aca="false">B10*B11</f>
        <v>3035.6205</v>
      </c>
    </row>
    <row r="13" customFormat="false" ht="31.5" hidden="false" customHeight="true" outlineLevel="0" collapsed="false">
      <c r="A13" s="5" t="s">
        <v>12</v>
      </c>
      <c r="B13" s="6" t="n">
        <f aca="false">B10+B12</f>
        <v>23273.0905</v>
      </c>
    </row>
    <row r="14" customFormat="false" ht="63.75" hidden="false" customHeight="true" outlineLevel="0" collapsed="false">
      <c r="A14" s="7" t="s">
        <v>13</v>
      </c>
      <c r="B14" s="8"/>
    </row>
    <row r="15" customFormat="false" ht="33.75" hidden="false" customHeight="true" outlineLevel="0" collapsed="false">
      <c r="A15" s="8" t="s">
        <v>14</v>
      </c>
      <c r="B15" s="8"/>
    </row>
    <row r="18" customFormat="false" ht="15" hidden="false" customHeight="false" outlineLevel="0" collapsed="false">
      <c r="A18" s="0" t="s">
        <v>15</v>
      </c>
    </row>
    <row r="19" customFormat="false" ht="15" hidden="false" customHeight="false" outlineLevel="0" collapsed="false">
      <c r="A19" s="0" t="s">
        <v>16</v>
      </c>
    </row>
    <row r="20" customFormat="false" ht="48" hidden="false" customHeight="true" outlineLevel="0" collapsed="false">
      <c r="A20" s="7" t="s"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4"/>
    <col collapsed="false" customWidth="true" hidden="false" outlineLevel="0" max="3" min="3" style="0" width="8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70"/>
    <col collapsed="false" customWidth="true" hidden="false" outlineLevel="0" max="9" min="9" style="0" width="65"/>
  </cols>
  <sheetData>
    <row r="1" customFormat="false" ht="22.05" hidden="false" customHeight="false" outlineLevel="0" collapsed="false">
      <c r="A1" s="1" t="s">
        <v>18</v>
      </c>
    </row>
    <row r="2" customFormat="false" ht="15" hidden="false" customHeight="false" outlineLevel="0" collapsed="false">
      <c r="A2" s="0" t="s">
        <v>1</v>
      </c>
    </row>
    <row r="4" customFormat="false" ht="30" hidden="false" customHeight="tru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3</v>
      </c>
      <c r="G4" s="2" t="s">
        <v>24</v>
      </c>
      <c r="H4" s="2" t="s">
        <v>25</v>
      </c>
      <c r="I4" s="2" t="s">
        <v>26</v>
      </c>
    </row>
    <row r="5" customFormat="false" ht="61.5" hidden="false" customHeight="true" outlineLevel="0" collapsed="false">
      <c r="A5" s="8" t="s">
        <v>4</v>
      </c>
      <c r="B5" s="8" t="s">
        <v>27</v>
      </c>
      <c r="C5" s="8" t="s">
        <v>28</v>
      </c>
      <c r="D5" s="9" t="n">
        <f aca="false">Quantidades!G5</f>
        <v>63</v>
      </c>
      <c r="E5" s="9" t="n">
        <v>101.997</v>
      </c>
      <c r="F5" s="10" t="n">
        <f aca="false">ROUND(D5*E5,2)</f>
        <v>6425.81</v>
      </c>
      <c r="G5" s="8" t="s">
        <v>29</v>
      </c>
      <c r="H5" s="8" t="s">
        <v>30</v>
      </c>
      <c r="I5" s="8" t="s">
        <v>31</v>
      </c>
    </row>
    <row r="6" customFormat="false" ht="61.5" hidden="false" customHeight="true" outlineLevel="0" collapsed="false">
      <c r="A6" s="8" t="s">
        <v>4</v>
      </c>
      <c r="B6" s="8" t="s">
        <v>32</v>
      </c>
      <c r="C6" s="8" t="s">
        <v>28</v>
      </c>
      <c r="D6" s="9" t="n">
        <f aca="false">Quantidades!G6</f>
        <v>7</v>
      </c>
      <c r="E6" s="9" t="n">
        <v>101.997</v>
      </c>
      <c r="F6" s="10" t="n">
        <f aca="false">ROUND(D6*E6,2)</f>
        <v>713.98</v>
      </c>
      <c r="G6" s="8" t="s">
        <v>33</v>
      </c>
      <c r="H6" s="8" t="s">
        <v>34</v>
      </c>
      <c r="I6" s="8" t="s">
        <v>31</v>
      </c>
    </row>
    <row r="7" customFormat="false" ht="61.5" hidden="false" customHeight="true" outlineLevel="0" collapsed="false">
      <c r="A7" s="8" t="s">
        <v>4</v>
      </c>
      <c r="B7" s="8" t="s">
        <v>35</v>
      </c>
      <c r="C7" s="8" t="s">
        <v>36</v>
      </c>
      <c r="D7" s="9" t="n">
        <v>13</v>
      </c>
      <c r="E7" s="9" t="n">
        <v>89.99</v>
      </c>
      <c r="F7" s="10" t="n">
        <f aca="false">ROUND(D7*E7,2)</f>
        <v>1169.87</v>
      </c>
      <c r="G7" s="8" t="s">
        <v>37</v>
      </c>
      <c r="H7" s="8" t="s">
        <v>38</v>
      </c>
      <c r="I7" s="8" t="s">
        <v>31</v>
      </c>
    </row>
    <row r="8" customFormat="false" ht="61.5" hidden="false" customHeight="true" outlineLevel="0" collapsed="false">
      <c r="A8" s="8" t="s">
        <v>4</v>
      </c>
      <c r="B8" s="8" t="s">
        <v>39</v>
      </c>
      <c r="C8" s="8" t="s">
        <v>36</v>
      </c>
      <c r="D8" s="9" t="n">
        <v>1</v>
      </c>
      <c r="E8" s="9" t="n">
        <v>89.99</v>
      </c>
      <c r="F8" s="10" t="n">
        <f aca="false">ROUND(D8*E8,2)</f>
        <v>89.99</v>
      </c>
      <c r="G8" s="8" t="s">
        <v>37</v>
      </c>
      <c r="H8" s="8" t="s">
        <v>40</v>
      </c>
      <c r="I8" s="8" t="s">
        <v>31</v>
      </c>
    </row>
    <row r="9" customFormat="false" ht="61.5" hidden="false" customHeight="true" outlineLevel="0" collapsed="false">
      <c r="A9" s="8" t="s">
        <v>4</v>
      </c>
      <c r="B9" s="8" t="s">
        <v>41</v>
      </c>
      <c r="C9" s="8" t="s">
        <v>42</v>
      </c>
      <c r="D9" s="9" t="n">
        <v>0</v>
      </c>
      <c r="E9" s="9" t="n">
        <v>65</v>
      </c>
      <c r="F9" s="10" t="n">
        <f aca="false">ROUND(D9*E9,2)</f>
        <v>0</v>
      </c>
      <c r="G9" s="8" t="s">
        <v>43</v>
      </c>
      <c r="H9" s="8" t="s">
        <v>44</v>
      </c>
      <c r="I9" s="8" t="s">
        <v>45</v>
      </c>
    </row>
    <row r="10" customFormat="false" ht="61.5" hidden="false" customHeight="true" outlineLevel="0" collapsed="false">
      <c r="A10" s="8" t="s">
        <v>4</v>
      </c>
      <c r="B10" s="8" t="s">
        <v>46</v>
      </c>
      <c r="C10" s="8" t="s">
        <v>47</v>
      </c>
      <c r="D10" s="9" t="n">
        <v>4</v>
      </c>
      <c r="E10" s="9" t="n">
        <v>25</v>
      </c>
      <c r="F10" s="10" t="n">
        <f aca="false">ROUND(D10*E10,2)</f>
        <v>100</v>
      </c>
      <c r="G10" s="8" t="s">
        <v>33</v>
      </c>
      <c r="H10" s="8"/>
      <c r="I10" s="8" t="s">
        <v>45</v>
      </c>
    </row>
    <row r="11" customFormat="false" ht="61.5" hidden="false" customHeight="true" outlineLevel="0" collapsed="false">
      <c r="A11" s="8" t="s">
        <v>4</v>
      </c>
      <c r="B11" s="8" t="s">
        <v>48</v>
      </c>
      <c r="C11" s="8" t="s">
        <v>49</v>
      </c>
      <c r="D11" s="9" t="n">
        <v>4</v>
      </c>
      <c r="E11" s="9" t="n">
        <v>45</v>
      </c>
      <c r="F11" s="10" t="n">
        <f aca="false">ROUND(D11*E11,2)</f>
        <v>180</v>
      </c>
      <c r="G11" s="8" t="s">
        <v>33</v>
      </c>
      <c r="H11" s="8" t="s">
        <v>50</v>
      </c>
      <c r="I11" s="8" t="s">
        <v>45</v>
      </c>
    </row>
    <row r="12" customFormat="false" ht="61.5" hidden="false" customHeight="true" outlineLevel="0" collapsed="false">
      <c r="A12" s="8" t="s">
        <v>4</v>
      </c>
      <c r="B12" s="8" t="s">
        <v>51</v>
      </c>
      <c r="C12" s="8" t="s">
        <v>52</v>
      </c>
      <c r="D12" s="9" t="n">
        <v>13</v>
      </c>
      <c r="E12" s="9" t="n">
        <v>65</v>
      </c>
      <c r="F12" s="10" t="n">
        <f aca="false">ROUND(D12*E12,2)</f>
        <v>845</v>
      </c>
      <c r="G12" s="8" t="s">
        <v>33</v>
      </c>
      <c r="H12" s="8" t="s">
        <v>53</v>
      </c>
      <c r="I12" s="8" t="s">
        <v>45</v>
      </c>
    </row>
    <row r="13" customFormat="false" ht="61.5" hidden="false" customHeight="true" outlineLevel="0" collapsed="false">
      <c r="A13" s="8" t="s">
        <v>5</v>
      </c>
      <c r="B13" s="8" t="s">
        <v>54</v>
      </c>
      <c r="C13" s="8" t="s">
        <v>49</v>
      </c>
      <c r="D13" s="9" t="n">
        <v>1</v>
      </c>
      <c r="E13" s="9" t="n">
        <v>1557.9</v>
      </c>
      <c r="F13" s="10" t="n">
        <f aca="false">ROUND(D13*E13,2)</f>
        <v>1557.9</v>
      </c>
      <c r="G13" s="8" t="s">
        <v>55</v>
      </c>
      <c r="H13" s="8" t="s">
        <v>56</v>
      </c>
      <c r="I13" s="8" t="s">
        <v>57</v>
      </c>
    </row>
    <row r="14" customFormat="false" ht="61.5" hidden="false" customHeight="true" outlineLevel="0" collapsed="false">
      <c r="A14" s="8" t="s">
        <v>5</v>
      </c>
      <c r="B14" s="8" t="s">
        <v>58</v>
      </c>
      <c r="C14" s="8" t="s">
        <v>49</v>
      </c>
      <c r="D14" s="9" t="n">
        <v>1</v>
      </c>
      <c r="E14" s="9" t="n">
        <v>445.69</v>
      </c>
      <c r="F14" s="10" t="n">
        <f aca="false">ROUND(D14*E14,2)</f>
        <v>445.69</v>
      </c>
      <c r="G14" s="8" t="s">
        <v>37</v>
      </c>
      <c r="H14" s="8" t="s">
        <v>59</v>
      </c>
      <c r="I14" s="8" t="s">
        <v>60</v>
      </c>
    </row>
    <row r="15" customFormat="false" ht="61.5" hidden="false" customHeight="true" outlineLevel="0" collapsed="false">
      <c r="A15" s="8" t="s">
        <v>5</v>
      </c>
      <c r="B15" s="8" t="s">
        <v>61</v>
      </c>
      <c r="C15" s="8" t="s">
        <v>49</v>
      </c>
      <c r="D15" s="9" t="n">
        <v>2</v>
      </c>
      <c r="E15" s="9" t="n">
        <v>380</v>
      </c>
      <c r="F15" s="10" t="n">
        <f aca="false">ROUND(D15*E15,2)</f>
        <v>760</v>
      </c>
      <c r="G15" s="8" t="s">
        <v>33</v>
      </c>
      <c r="H15" s="8" t="s">
        <v>62</v>
      </c>
      <c r="I15" s="8" t="s">
        <v>45</v>
      </c>
    </row>
    <row r="16" customFormat="false" ht="61.5" hidden="false" customHeight="true" outlineLevel="0" collapsed="false">
      <c r="A16" s="8" t="s">
        <v>5</v>
      </c>
      <c r="B16" s="8" t="s">
        <v>63</v>
      </c>
      <c r="C16" s="8" t="s">
        <v>64</v>
      </c>
      <c r="D16" s="9" t="n">
        <v>1</v>
      </c>
      <c r="E16" s="9" t="n">
        <v>450</v>
      </c>
      <c r="F16" s="10" t="n">
        <f aca="false">ROUND(D16*E16,2)</f>
        <v>450</v>
      </c>
      <c r="G16" s="8" t="s">
        <v>33</v>
      </c>
      <c r="H16" s="8" t="s">
        <v>65</v>
      </c>
      <c r="I16" s="8" t="s">
        <v>45</v>
      </c>
    </row>
    <row r="17" customFormat="false" ht="61.5" hidden="false" customHeight="true" outlineLevel="0" collapsed="false">
      <c r="A17" s="8" t="s">
        <v>5</v>
      </c>
      <c r="B17" s="8" t="s">
        <v>66</v>
      </c>
      <c r="C17" s="8" t="s">
        <v>49</v>
      </c>
      <c r="D17" s="9" t="n">
        <v>1</v>
      </c>
      <c r="E17" s="9" t="n">
        <v>685.17</v>
      </c>
      <c r="F17" s="10" t="n">
        <f aca="false">ROUND(D17*E17,2)</f>
        <v>685.17</v>
      </c>
      <c r="G17" s="8" t="s">
        <v>55</v>
      </c>
      <c r="H17" s="8" t="s">
        <v>67</v>
      </c>
      <c r="I17" s="8" t="s">
        <v>68</v>
      </c>
    </row>
    <row r="18" customFormat="false" ht="61.5" hidden="false" customHeight="true" outlineLevel="0" collapsed="false">
      <c r="A18" s="8" t="s">
        <v>5</v>
      </c>
      <c r="B18" s="8" t="s">
        <v>69</v>
      </c>
      <c r="C18" s="8" t="s">
        <v>49</v>
      </c>
      <c r="D18" s="9" t="n">
        <v>1</v>
      </c>
      <c r="E18" s="9" t="n">
        <v>450</v>
      </c>
      <c r="F18" s="10" t="n">
        <f aca="false">ROUND(D18*E18,2)</f>
        <v>450</v>
      </c>
      <c r="G18" s="8" t="s">
        <v>33</v>
      </c>
      <c r="H18" s="8" t="s">
        <v>70</v>
      </c>
      <c r="I18" s="8" t="s">
        <v>45</v>
      </c>
    </row>
    <row r="19" customFormat="false" ht="61.5" hidden="false" customHeight="true" outlineLevel="0" collapsed="false">
      <c r="A19" s="8" t="s">
        <v>5</v>
      </c>
      <c r="B19" s="8" t="s">
        <v>71</v>
      </c>
      <c r="C19" s="8" t="s">
        <v>49</v>
      </c>
      <c r="D19" s="9" t="n">
        <v>1</v>
      </c>
      <c r="E19" s="9" t="n">
        <v>933.7</v>
      </c>
      <c r="F19" s="10" t="n">
        <f aca="false">ROUND(D19*E19,2)</f>
        <v>933.7</v>
      </c>
      <c r="G19" s="8" t="s">
        <v>55</v>
      </c>
      <c r="H19" s="8" t="s">
        <v>72</v>
      </c>
      <c r="I19" s="8" t="s">
        <v>73</v>
      </c>
    </row>
    <row r="20" customFormat="false" ht="61.5" hidden="false" customHeight="true" outlineLevel="0" collapsed="false">
      <c r="A20" s="8" t="s">
        <v>5</v>
      </c>
      <c r="B20" s="8" t="s">
        <v>74</v>
      </c>
      <c r="C20" s="8" t="s">
        <v>49</v>
      </c>
      <c r="D20" s="9" t="n">
        <v>1</v>
      </c>
      <c r="E20" s="9" t="n">
        <v>374.02</v>
      </c>
      <c r="F20" s="10" t="n">
        <f aca="false">ROUND(D20*E20,2)</f>
        <v>374.02</v>
      </c>
      <c r="G20" s="8" t="s">
        <v>55</v>
      </c>
      <c r="H20" s="8" t="s">
        <v>75</v>
      </c>
      <c r="I20" s="8" t="s">
        <v>76</v>
      </c>
    </row>
    <row r="21" customFormat="false" ht="61.5" hidden="false" customHeight="true" outlineLevel="0" collapsed="false">
      <c r="A21" s="8" t="s">
        <v>5</v>
      </c>
      <c r="B21" s="8" t="s">
        <v>77</v>
      </c>
      <c r="C21" s="8" t="s">
        <v>49</v>
      </c>
      <c r="D21" s="9" t="n">
        <v>2</v>
      </c>
      <c r="E21" s="9" t="n">
        <v>292.72</v>
      </c>
      <c r="F21" s="10" t="n">
        <f aca="false">ROUND(D21*E21,2)</f>
        <v>585.44</v>
      </c>
      <c r="G21" s="8" t="s">
        <v>55</v>
      </c>
      <c r="H21" s="8" t="s">
        <v>78</v>
      </c>
      <c r="I21" s="8" t="s">
        <v>79</v>
      </c>
    </row>
    <row r="22" customFormat="false" ht="61.5" hidden="false" customHeight="true" outlineLevel="0" collapsed="false">
      <c r="A22" s="8" t="s">
        <v>5</v>
      </c>
      <c r="B22" s="8" t="s">
        <v>80</v>
      </c>
      <c r="C22" s="8" t="s">
        <v>49</v>
      </c>
      <c r="D22" s="9" t="n">
        <v>1</v>
      </c>
      <c r="E22" s="9" t="n">
        <v>433.65</v>
      </c>
      <c r="F22" s="10" t="n">
        <f aca="false">ROUND(D22*E22,2)</f>
        <v>433.65</v>
      </c>
      <c r="G22" s="8" t="s">
        <v>55</v>
      </c>
      <c r="H22" s="8" t="s">
        <v>81</v>
      </c>
      <c r="I22" s="8" t="s">
        <v>82</v>
      </c>
    </row>
    <row r="23" customFormat="false" ht="61.5" hidden="false" customHeight="true" outlineLevel="0" collapsed="false">
      <c r="A23" s="8" t="s">
        <v>5</v>
      </c>
      <c r="B23" s="8" t="s">
        <v>83</v>
      </c>
      <c r="C23" s="8" t="s">
        <v>49</v>
      </c>
      <c r="D23" s="9" t="n">
        <v>1</v>
      </c>
      <c r="E23" s="9" t="n">
        <v>1384.65</v>
      </c>
      <c r="F23" s="10" t="n">
        <f aca="false">ROUND(D23*E23,2)</f>
        <v>1384.65</v>
      </c>
      <c r="G23" s="8" t="s">
        <v>55</v>
      </c>
      <c r="H23" s="8" t="s">
        <v>84</v>
      </c>
      <c r="I23" s="8" t="s">
        <v>85</v>
      </c>
    </row>
    <row r="24" customFormat="false" ht="61.5" hidden="false" customHeight="true" outlineLevel="0" collapsed="false">
      <c r="A24" s="8" t="s">
        <v>6</v>
      </c>
      <c r="B24" s="8" t="s">
        <v>86</v>
      </c>
      <c r="C24" s="8" t="s">
        <v>49</v>
      </c>
      <c r="D24" s="9" t="n">
        <v>1</v>
      </c>
      <c r="E24" s="9" t="n">
        <v>450</v>
      </c>
      <c r="F24" s="10" t="n">
        <f aca="false">ROUND(D24*E24,2)</f>
        <v>450</v>
      </c>
      <c r="G24" s="8" t="s">
        <v>33</v>
      </c>
      <c r="H24" s="8" t="s">
        <v>87</v>
      </c>
      <c r="I24" s="8" t="s">
        <v>45</v>
      </c>
    </row>
    <row r="25" customFormat="false" ht="61.5" hidden="false" customHeight="true" outlineLevel="0" collapsed="false">
      <c r="A25" s="8" t="s">
        <v>6</v>
      </c>
      <c r="B25" s="8" t="s">
        <v>88</v>
      </c>
      <c r="C25" s="8" t="s">
        <v>49</v>
      </c>
      <c r="D25" s="9" t="n">
        <v>1</v>
      </c>
      <c r="E25" s="9" t="n">
        <v>180</v>
      </c>
      <c r="F25" s="10" t="n">
        <f aca="false">ROUND(D25*E25,2)</f>
        <v>180</v>
      </c>
      <c r="G25" s="8" t="s">
        <v>33</v>
      </c>
      <c r="H25" s="8" t="s">
        <v>89</v>
      </c>
      <c r="I25" s="8" t="s">
        <v>45</v>
      </c>
    </row>
    <row r="26" customFormat="false" ht="61.5" hidden="false" customHeight="true" outlineLevel="0" collapsed="false">
      <c r="A26" s="8" t="s">
        <v>6</v>
      </c>
      <c r="B26" s="8" t="s">
        <v>90</v>
      </c>
      <c r="C26" s="8" t="s">
        <v>49</v>
      </c>
      <c r="D26" s="9" t="n">
        <v>1</v>
      </c>
      <c r="E26" s="9" t="n">
        <v>100</v>
      </c>
      <c r="F26" s="10" t="n">
        <f aca="false">ROUND(D26*E26,2)</f>
        <v>100</v>
      </c>
      <c r="G26" s="8" t="s">
        <v>33</v>
      </c>
      <c r="H26" s="8" t="s">
        <v>91</v>
      </c>
      <c r="I26" s="8" t="s">
        <v>45</v>
      </c>
    </row>
    <row r="27" customFormat="false" ht="61.5" hidden="false" customHeight="true" outlineLevel="0" collapsed="false">
      <c r="A27" s="8" t="s">
        <v>6</v>
      </c>
      <c r="B27" s="8" t="s">
        <v>92</v>
      </c>
      <c r="C27" s="8" t="s">
        <v>64</v>
      </c>
      <c r="D27" s="9" t="n">
        <v>1</v>
      </c>
      <c r="E27" s="9" t="n">
        <v>65</v>
      </c>
      <c r="F27" s="10" t="n">
        <f aca="false">ROUND(D27*E27,2)</f>
        <v>65</v>
      </c>
      <c r="G27" s="8" t="s">
        <v>33</v>
      </c>
      <c r="H27" s="8"/>
      <c r="I27" s="8" t="s">
        <v>45</v>
      </c>
    </row>
    <row r="28" customFormat="false" ht="61.5" hidden="false" customHeight="true" outlineLevel="0" collapsed="false">
      <c r="A28" s="8" t="s">
        <v>6</v>
      </c>
      <c r="B28" s="8" t="s">
        <v>93</v>
      </c>
      <c r="C28" s="8" t="s">
        <v>49</v>
      </c>
      <c r="D28" s="9" t="n">
        <v>1</v>
      </c>
      <c r="E28" s="9" t="n">
        <v>45</v>
      </c>
      <c r="F28" s="10" t="n">
        <f aca="false">ROUND(D28*E28,2)</f>
        <v>45</v>
      </c>
      <c r="G28" s="8" t="s">
        <v>33</v>
      </c>
      <c r="H28" s="8" t="s">
        <v>94</v>
      </c>
      <c r="I28" s="8" t="s">
        <v>45</v>
      </c>
    </row>
    <row r="29" customFormat="false" ht="61.5" hidden="false" customHeight="true" outlineLevel="0" collapsed="false">
      <c r="A29" s="8" t="s">
        <v>6</v>
      </c>
      <c r="B29" s="8" t="s">
        <v>95</v>
      </c>
      <c r="C29" s="8" t="s">
        <v>52</v>
      </c>
      <c r="D29" s="9" t="n">
        <v>3</v>
      </c>
      <c r="E29" s="9" t="n">
        <v>22</v>
      </c>
      <c r="F29" s="10" t="n">
        <f aca="false">ROUND(D29*E29,2)</f>
        <v>66</v>
      </c>
      <c r="G29" s="8" t="s">
        <v>33</v>
      </c>
      <c r="H29" s="8" t="s">
        <v>96</v>
      </c>
      <c r="I29" s="8" t="s">
        <v>45</v>
      </c>
    </row>
    <row r="30" customFormat="false" ht="61.5" hidden="false" customHeight="true" outlineLevel="0" collapsed="false">
      <c r="A30" s="8" t="s">
        <v>6</v>
      </c>
      <c r="B30" s="8" t="s">
        <v>97</v>
      </c>
      <c r="C30" s="8" t="s">
        <v>52</v>
      </c>
      <c r="D30" s="9" t="n">
        <v>2</v>
      </c>
      <c r="E30" s="9" t="n">
        <v>16</v>
      </c>
      <c r="F30" s="10" t="n">
        <f aca="false">ROUND(D30*E30,2)</f>
        <v>32</v>
      </c>
      <c r="G30" s="8" t="s">
        <v>33</v>
      </c>
      <c r="H30" s="8"/>
      <c r="I30" s="8" t="s">
        <v>45</v>
      </c>
    </row>
    <row r="31" customFormat="false" ht="61.5" hidden="false" customHeight="true" outlineLevel="0" collapsed="false">
      <c r="A31" s="8" t="s">
        <v>6</v>
      </c>
      <c r="B31" s="8" t="s">
        <v>98</v>
      </c>
      <c r="C31" s="8" t="s">
        <v>49</v>
      </c>
      <c r="D31" s="9" t="n">
        <v>10</v>
      </c>
      <c r="E31" s="9" t="n">
        <v>15</v>
      </c>
      <c r="F31" s="10" t="n">
        <f aca="false">ROUND(D31*E31,2)</f>
        <v>150</v>
      </c>
      <c r="G31" s="8" t="s">
        <v>33</v>
      </c>
      <c r="H31" s="8" t="s">
        <v>99</v>
      </c>
      <c r="I31" s="8" t="s">
        <v>45</v>
      </c>
    </row>
    <row r="32" customFormat="false" ht="61.5" hidden="false" customHeight="true" outlineLevel="0" collapsed="false">
      <c r="A32" s="8" t="s">
        <v>6</v>
      </c>
      <c r="B32" s="8" t="s">
        <v>100</v>
      </c>
      <c r="C32" s="8" t="s">
        <v>64</v>
      </c>
      <c r="D32" s="9" t="n">
        <v>1</v>
      </c>
      <c r="E32" s="9" t="n">
        <v>85</v>
      </c>
      <c r="F32" s="10" t="n">
        <f aca="false">ROUND(D32*E32,2)</f>
        <v>85</v>
      </c>
      <c r="G32" s="8" t="s">
        <v>33</v>
      </c>
      <c r="H32" s="8"/>
      <c r="I32" s="8" t="s">
        <v>45</v>
      </c>
    </row>
    <row r="33" customFormat="false" ht="61.5" hidden="false" customHeight="true" outlineLevel="0" collapsed="false">
      <c r="A33" s="8" t="s">
        <v>7</v>
      </c>
      <c r="B33" s="8" t="s">
        <v>101</v>
      </c>
      <c r="C33" s="8" t="s">
        <v>52</v>
      </c>
      <c r="D33" s="9" t="n">
        <v>6</v>
      </c>
      <c r="E33" s="9" t="n">
        <v>22</v>
      </c>
      <c r="F33" s="10" t="n">
        <f aca="false">ROUND(D33*E33,2)</f>
        <v>132</v>
      </c>
      <c r="G33" s="8" t="s">
        <v>33</v>
      </c>
      <c r="H33" s="8" t="s">
        <v>102</v>
      </c>
      <c r="I33" s="8" t="s">
        <v>45</v>
      </c>
    </row>
    <row r="34" customFormat="false" ht="61.5" hidden="false" customHeight="true" outlineLevel="0" collapsed="false">
      <c r="A34" s="8" t="s">
        <v>7</v>
      </c>
      <c r="B34" s="8" t="s">
        <v>103</v>
      </c>
      <c r="C34" s="8" t="s">
        <v>52</v>
      </c>
      <c r="D34" s="9" t="n">
        <v>6</v>
      </c>
      <c r="E34" s="9" t="n">
        <v>15</v>
      </c>
      <c r="F34" s="10" t="n">
        <f aca="false">ROUND(D34*E34,2)</f>
        <v>90</v>
      </c>
      <c r="G34" s="8" t="s">
        <v>33</v>
      </c>
      <c r="H34" s="8"/>
      <c r="I34" s="8" t="s">
        <v>45</v>
      </c>
    </row>
    <row r="35" customFormat="false" ht="61.5" hidden="false" customHeight="true" outlineLevel="0" collapsed="false">
      <c r="A35" s="8" t="s">
        <v>7</v>
      </c>
      <c r="B35" s="8" t="s">
        <v>104</v>
      </c>
      <c r="C35" s="8" t="s">
        <v>49</v>
      </c>
      <c r="D35" s="9" t="n">
        <v>2</v>
      </c>
      <c r="E35" s="9" t="n">
        <v>25</v>
      </c>
      <c r="F35" s="10" t="n">
        <f aca="false">ROUND(D35*E35,2)</f>
        <v>50</v>
      </c>
      <c r="G35" s="8" t="s">
        <v>33</v>
      </c>
      <c r="H35" s="8"/>
      <c r="I35" s="8" t="s">
        <v>45</v>
      </c>
    </row>
    <row r="36" customFormat="false" ht="61.5" hidden="false" customHeight="true" outlineLevel="0" collapsed="false">
      <c r="A36" s="8" t="s">
        <v>7</v>
      </c>
      <c r="B36" s="8" t="s">
        <v>105</v>
      </c>
      <c r="C36" s="8" t="s">
        <v>49</v>
      </c>
      <c r="D36" s="9" t="n">
        <v>8</v>
      </c>
      <c r="E36" s="9" t="n">
        <v>15</v>
      </c>
      <c r="F36" s="10" t="n">
        <f aca="false">ROUND(D36*E36,2)</f>
        <v>120</v>
      </c>
      <c r="G36" s="8" t="s">
        <v>33</v>
      </c>
      <c r="H36" s="8"/>
      <c r="I36" s="8" t="s">
        <v>45</v>
      </c>
    </row>
    <row r="37" customFormat="false" ht="61.5" hidden="false" customHeight="true" outlineLevel="0" collapsed="false">
      <c r="A37" s="8" t="s">
        <v>7</v>
      </c>
      <c r="B37" s="8" t="s">
        <v>106</v>
      </c>
      <c r="C37" s="8" t="s">
        <v>49</v>
      </c>
      <c r="D37" s="9" t="n">
        <v>6</v>
      </c>
      <c r="E37" s="9" t="n">
        <v>25</v>
      </c>
      <c r="F37" s="10" t="n">
        <f aca="false">ROUND(D37*E37,2)</f>
        <v>150</v>
      </c>
      <c r="G37" s="8" t="s">
        <v>33</v>
      </c>
      <c r="H37" s="8"/>
      <c r="I37" s="8" t="s">
        <v>45</v>
      </c>
    </row>
    <row r="38" customFormat="false" ht="61.5" hidden="false" customHeight="true" outlineLevel="0" collapsed="false">
      <c r="A38" s="8" t="s">
        <v>7</v>
      </c>
      <c r="B38" s="8" t="s">
        <v>107</v>
      </c>
      <c r="C38" s="8" t="s">
        <v>49</v>
      </c>
      <c r="D38" s="9" t="n">
        <v>1</v>
      </c>
      <c r="E38" s="9" t="n">
        <v>100</v>
      </c>
      <c r="F38" s="10" t="n">
        <f aca="false">ROUND(D38*E38,2)</f>
        <v>100</v>
      </c>
      <c r="G38" s="8" t="s">
        <v>33</v>
      </c>
      <c r="H38" s="8"/>
      <c r="I38" s="8" t="s">
        <v>45</v>
      </c>
    </row>
    <row r="39" customFormat="false" ht="61.5" hidden="false" customHeight="true" outlineLevel="0" collapsed="false">
      <c r="A39" s="8" t="s">
        <v>7</v>
      </c>
      <c r="B39" s="8" t="s">
        <v>108</v>
      </c>
      <c r="C39" s="8" t="s">
        <v>64</v>
      </c>
      <c r="D39" s="9" t="n">
        <v>1</v>
      </c>
      <c r="E39" s="9" t="n">
        <v>90</v>
      </c>
      <c r="F39" s="10" t="n">
        <f aca="false">ROUND(D39*E39,2)</f>
        <v>90</v>
      </c>
      <c r="G39" s="8" t="s">
        <v>33</v>
      </c>
      <c r="H39" s="8"/>
      <c r="I39" s="8" t="s">
        <v>45</v>
      </c>
    </row>
    <row r="40" customFormat="false" ht="61.5" hidden="false" customHeight="true" outlineLevel="0" collapsed="false">
      <c r="A40" s="8" t="s">
        <v>7</v>
      </c>
      <c r="B40" s="8" t="s">
        <v>109</v>
      </c>
      <c r="C40" s="8" t="s">
        <v>64</v>
      </c>
      <c r="D40" s="9" t="n">
        <v>1</v>
      </c>
      <c r="E40" s="9" t="n">
        <v>80</v>
      </c>
      <c r="F40" s="10" t="n">
        <f aca="false">ROUND(D40*E40,2)</f>
        <v>80</v>
      </c>
      <c r="G40" s="8" t="s">
        <v>33</v>
      </c>
      <c r="H40" s="8"/>
      <c r="I40" s="8" t="s">
        <v>45</v>
      </c>
    </row>
    <row r="41" customFormat="false" ht="41.75" hidden="false" customHeight="false" outlineLevel="0" collapsed="false">
      <c r="A41" s="8" t="s">
        <v>8</v>
      </c>
      <c r="B41" s="8" t="s">
        <v>110</v>
      </c>
      <c r="C41" s="8" t="s">
        <v>111</v>
      </c>
      <c r="D41" s="9" t="n">
        <v>3</v>
      </c>
      <c r="E41" s="9" t="n">
        <v>199.9</v>
      </c>
      <c r="F41" s="10" t="n">
        <f aca="false">ROUND(D41*E41,2)</f>
        <v>599.7</v>
      </c>
      <c r="G41" s="8" t="s">
        <v>55</v>
      </c>
      <c r="H41" s="8" t="s">
        <v>112</v>
      </c>
      <c r="I41" s="8" t="s">
        <v>113</v>
      </c>
    </row>
    <row r="42" customFormat="false" ht="28.35" hidden="false" customHeight="false" outlineLevel="0" collapsed="false">
      <c r="A42" s="8" t="s">
        <v>8</v>
      </c>
      <c r="B42" s="8" t="s">
        <v>114</v>
      </c>
      <c r="C42" s="8" t="s">
        <v>115</v>
      </c>
      <c r="D42" s="9" t="n">
        <v>1</v>
      </c>
      <c r="E42" s="9" t="n">
        <v>67.9</v>
      </c>
      <c r="F42" s="10" t="n">
        <f aca="false">ROUND(D42*E42,2)</f>
        <v>67.9</v>
      </c>
      <c r="G42" s="8" t="s">
        <v>55</v>
      </c>
      <c r="H42" s="8" t="s">
        <v>116</v>
      </c>
      <c r="I42" s="8" t="s">
        <v>117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6" min="3" style="0" width="16"/>
    <col collapsed="false" customWidth="true" hidden="false" outlineLevel="0" max="7" min="7" style="0" width="18"/>
    <col collapsed="false" customWidth="true" hidden="false" outlineLevel="0" max="10" min="8" style="0" width="16"/>
  </cols>
  <sheetData>
    <row r="1" customFormat="false" ht="22.05" hidden="false" customHeight="false" outlineLevel="0" collapsed="false">
      <c r="A1" s="1" t="s">
        <v>118</v>
      </c>
    </row>
    <row r="2" customFormat="false" ht="15" hidden="false" customHeight="false" outlineLevel="0" collapsed="false">
      <c r="A2" s="0" t="s">
        <v>1</v>
      </c>
    </row>
    <row r="4" customFormat="false" ht="30" hidden="false" customHeight="true" outlineLevel="0" collapsed="false">
      <c r="A4" s="2" t="s">
        <v>119</v>
      </c>
      <c r="B4" s="2" t="s">
        <v>120</v>
      </c>
      <c r="C4" s="2" t="s">
        <v>121</v>
      </c>
      <c r="D4" s="2" t="s">
        <v>122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127</v>
      </c>
      <c r="J4" s="2" t="s">
        <v>128</v>
      </c>
    </row>
    <row r="5" customFormat="false" ht="15" hidden="false" customHeight="false" outlineLevel="0" collapsed="false">
      <c r="A5" s="0" t="s">
        <v>129</v>
      </c>
      <c r="B5" s="0" t="n">
        <f aca="false">SUM(Paredes!H5:H19)</f>
        <v>1480</v>
      </c>
      <c r="C5" s="11" t="n">
        <f aca="false">SUM(Paredes!F5:F19)</f>
        <v>16.9531</v>
      </c>
      <c r="D5" s="4" t="n">
        <v>0.1</v>
      </c>
      <c r="E5" s="11" t="n">
        <f aca="false">C5*(1+D5)</f>
        <v>18.64841</v>
      </c>
      <c r="F5" s="11" t="n">
        <v>0.3</v>
      </c>
      <c r="G5" s="12" t="n">
        <f aca="false">ROUNDUP(E5/F5,0)</f>
        <v>63</v>
      </c>
      <c r="H5" s="11" t="n">
        <v>26</v>
      </c>
      <c r="I5" s="12" t="n">
        <f aca="false">G5*H5</f>
        <v>1638</v>
      </c>
      <c r="J5" s="13" t="n">
        <f aca="false">I5/B5-1</f>
        <v>0.106756756756757</v>
      </c>
    </row>
    <row r="6" customFormat="false" ht="15" hidden="false" customHeight="false" outlineLevel="0" collapsed="false">
      <c r="A6" s="0" t="s">
        <v>130</v>
      </c>
      <c r="B6" s="0" t="n">
        <f aca="false">SUM(Paredes!I5:I19)</f>
        <v>152</v>
      </c>
      <c r="C6" s="11" t="n">
        <f aca="false">SUM(Paredes!G5:G19)</f>
        <v>1.7288</v>
      </c>
      <c r="D6" s="4" t="n">
        <v>0.1</v>
      </c>
      <c r="E6" s="11" t="n">
        <f aca="false">C6*(1+D6)</f>
        <v>1.90168</v>
      </c>
      <c r="F6" s="11" t="n">
        <v>0.3</v>
      </c>
      <c r="G6" s="12" t="n">
        <f aca="false">ROUNDUP(E6/F6,0)</f>
        <v>7</v>
      </c>
      <c r="H6" s="11" t="n">
        <v>26</v>
      </c>
      <c r="I6" s="12" t="n">
        <f aca="false">G6*H6</f>
        <v>182</v>
      </c>
      <c r="J6" s="13" t="n">
        <f aca="false">I6/B6-1</f>
        <v>0.197368421052632</v>
      </c>
    </row>
    <row r="9" customFormat="false" ht="15" hidden="false" customHeight="false" outlineLevel="0" collapsed="false">
      <c r="A9" s="0" t="s">
        <v>131</v>
      </c>
      <c r="B9" s="14" t="n">
        <v>3.542305</v>
      </c>
    </row>
    <row r="10" customFormat="false" ht="15" hidden="false" customHeight="false" outlineLevel="0" collapsed="false">
      <c r="A10" s="0" t="s">
        <v>132</v>
      </c>
      <c r="B10" s="14" t="n">
        <f aca="false">SUM(Paredes!E5:E15)</f>
        <v>17.604</v>
      </c>
    </row>
    <row r="11" customFormat="false" ht="15" hidden="false" customHeight="false" outlineLevel="0" collapsed="false">
      <c r="A11" s="0" t="s">
        <v>133</v>
      </c>
      <c r="B11" s="14" t="n">
        <f aca="false">SUM(Paredes!E16:E19)</f>
        <v>1.0778</v>
      </c>
    </row>
    <row r="12" customFormat="false" ht="15" hidden="false" customHeight="false" outlineLevel="0" collapsed="false">
      <c r="A12" s="0" t="s">
        <v>134</v>
      </c>
      <c r="B12" s="0" t="n">
        <v>2</v>
      </c>
    </row>
    <row r="13" customFormat="false" ht="15" hidden="false" customHeight="false" outlineLevel="0" collapsed="false">
      <c r="A13" s="0" t="s">
        <v>135</v>
      </c>
      <c r="B13" s="0" t="n">
        <v>12</v>
      </c>
    </row>
    <row r="14" customFormat="false" ht="15" hidden="false" customHeight="false" outlineLevel="0" collapsed="false">
      <c r="A14" s="0" t="s">
        <v>136</v>
      </c>
      <c r="B14" s="0" t="n">
        <v>2353</v>
      </c>
    </row>
    <row r="15" customFormat="false" ht="15" hidden="false" customHeight="false" outlineLevel="0" collapsed="false">
      <c r="A15" s="0" t="s">
        <v>137</v>
      </c>
    </row>
    <row r="16" customFormat="false" ht="15" hidden="false" customHeight="false" outlineLevel="0" collapsed="false">
      <c r="A16" s="0" t="s">
        <v>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8"/>
    <col collapsed="false" customWidth="true" hidden="false" outlineLevel="0" max="4" min="3" style="0" width="15"/>
    <col collapsed="false" customWidth="true" hidden="false" outlineLevel="0" max="5" min="5" style="0" width="17"/>
    <col collapsed="false" customWidth="true" hidden="false" outlineLevel="0" max="7" min="6" style="0" width="18"/>
    <col collapsed="false" customWidth="true" hidden="false" outlineLevel="0" max="12" min="8" style="0" width="15"/>
  </cols>
  <sheetData>
    <row r="1" customFormat="false" ht="22.05" hidden="false" customHeight="false" outlineLevel="0" collapsed="false">
      <c r="A1" s="1" t="s">
        <v>139</v>
      </c>
    </row>
    <row r="2" customFormat="false" ht="15" hidden="false" customHeight="false" outlineLevel="0" collapsed="false">
      <c r="A2" s="0" t="s">
        <v>1</v>
      </c>
    </row>
    <row r="4" customFormat="false" ht="30" hidden="false" customHeight="true" outlineLevel="0" collapsed="false">
      <c r="A4" s="2" t="s">
        <v>140</v>
      </c>
      <c r="B4" s="2" t="s">
        <v>141</v>
      </c>
      <c r="C4" s="2" t="s">
        <v>142</v>
      </c>
      <c r="D4" s="2" t="s">
        <v>143</v>
      </c>
      <c r="E4" s="2" t="s">
        <v>121</v>
      </c>
      <c r="F4" s="2" t="s">
        <v>144</v>
      </c>
      <c r="G4" s="2" t="s">
        <v>145</v>
      </c>
      <c r="H4" s="2" t="s">
        <v>146</v>
      </c>
      <c r="I4" s="2" t="s">
        <v>147</v>
      </c>
      <c r="J4" s="2" t="s">
        <v>148</v>
      </c>
      <c r="K4" s="2" t="s">
        <v>149</v>
      </c>
      <c r="L4" s="2" t="s">
        <v>150</v>
      </c>
    </row>
    <row r="5" customFormat="false" ht="30" hidden="false" customHeight="true" outlineLevel="0" collapsed="false">
      <c r="A5" s="0" t="s">
        <v>151</v>
      </c>
      <c r="B5" s="0" t="s">
        <v>152</v>
      </c>
      <c r="C5" s="0" t="n">
        <v>1275</v>
      </c>
      <c r="D5" s="0" t="n">
        <v>2353</v>
      </c>
      <c r="E5" s="14" t="n">
        <v>2.5994</v>
      </c>
      <c r="F5" s="14" t="n">
        <v>2.5064</v>
      </c>
      <c r="G5" s="14" t="n">
        <v>0.093</v>
      </c>
      <c r="H5" s="0" t="n">
        <v>221</v>
      </c>
      <c r="I5" s="0" t="n">
        <v>8</v>
      </c>
      <c r="J5" s="0" t="n">
        <v>173</v>
      </c>
      <c r="K5" s="0" t="n">
        <v>56</v>
      </c>
      <c r="L5" s="0" t="n">
        <v>59</v>
      </c>
    </row>
    <row r="6" customFormat="false" ht="30" hidden="false" customHeight="true" outlineLevel="0" collapsed="false">
      <c r="A6" s="0" t="s">
        <v>153</v>
      </c>
      <c r="B6" s="0" t="s">
        <v>154</v>
      </c>
      <c r="C6" s="0" t="n">
        <v>877</v>
      </c>
      <c r="D6" s="0" t="n">
        <v>2353</v>
      </c>
      <c r="E6" s="14" t="n">
        <v>2.0636</v>
      </c>
      <c r="F6" s="14" t="n">
        <v>1.9822</v>
      </c>
      <c r="G6" s="14" t="n">
        <v>0.0814</v>
      </c>
      <c r="H6" s="0" t="n">
        <v>173</v>
      </c>
      <c r="I6" s="0" t="n">
        <v>7</v>
      </c>
      <c r="J6" s="0" t="n">
        <v>150</v>
      </c>
      <c r="K6" s="0" t="n">
        <v>30</v>
      </c>
      <c r="L6" s="0" t="n">
        <v>52.5</v>
      </c>
    </row>
    <row r="7" customFormat="false" ht="30" hidden="false" customHeight="true" outlineLevel="0" collapsed="false">
      <c r="A7" s="0" t="s">
        <v>155</v>
      </c>
      <c r="B7" s="0" t="s">
        <v>156</v>
      </c>
      <c r="C7" s="0" t="n">
        <v>1706</v>
      </c>
      <c r="D7" s="0" t="n">
        <v>2353</v>
      </c>
      <c r="E7" s="14" t="n">
        <v>4.0142</v>
      </c>
      <c r="F7" s="14" t="n">
        <v>3.8747</v>
      </c>
      <c r="G7" s="14" t="n">
        <v>0.1395</v>
      </c>
      <c r="H7" s="0" t="n">
        <v>333</v>
      </c>
      <c r="I7" s="0" t="n">
        <v>12</v>
      </c>
      <c r="J7" s="0" t="n">
        <v>315</v>
      </c>
      <c r="K7" s="0" t="n">
        <v>30</v>
      </c>
      <c r="L7" s="0" t="n">
        <v>43.5</v>
      </c>
    </row>
    <row r="8" customFormat="false" ht="30" hidden="false" customHeight="true" outlineLevel="0" collapsed="false">
      <c r="A8" s="0" t="s">
        <v>157</v>
      </c>
      <c r="B8" s="0" t="s">
        <v>158</v>
      </c>
      <c r="C8" s="0" t="n">
        <v>2583</v>
      </c>
      <c r="D8" s="0" t="n">
        <v>2353</v>
      </c>
      <c r="E8" s="14" t="n">
        <v>4.4858</v>
      </c>
      <c r="F8" s="14" t="n">
        <v>4.2998</v>
      </c>
      <c r="G8" s="14" t="n">
        <v>0.186</v>
      </c>
      <c r="H8" s="0" t="n">
        <v>374</v>
      </c>
      <c r="I8" s="0" t="n">
        <v>16</v>
      </c>
      <c r="J8" s="0" t="n">
        <v>337</v>
      </c>
      <c r="K8" s="0" t="n">
        <v>53</v>
      </c>
      <c r="L8" s="0" t="n">
        <v>58.5</v>
      </c>
    </row>
    <row r="9" customFormat="false" ht="30" hidden="false" customHeight="true" outlineLevel="0" collapsed="false">
      <c r="A9" s="0" t="s">
        <v>159</v>
      </c>
      <c r="B9" s="0" t="s">
        <v>160</v>
      </c>
      <c r="C9" s="0" t="n">
        <v>1427</v>
      </c>
      <c r="D9" s="0" t="n">
        <v>2353</v>
      </c>
      <c r="E9" s="14" t="n">
        <v>3.3577</v>
      </c>
      <c r="F9" s="14" t="n">
        <v>3.2299</v>
      </c>
      <c r="G9" s="14" t="n">
        <v>0.1279</v>
      </c>
      <c r="H9" s="0" t="n">
        <v>274</v>
      </c>
      <c r="I9" s="0" t="n">
        <v>11</v>
      </c>
      <c r="J9" s="0" t="n">
        <v>255</v>
      </c>
      <c r="K9" s="0" t="n">
        <v>30</v>
      </c>
      <c r="L9" s="0" t="n">
        <v>58</v>
      </c>
    </row>
    <row r="10" customFormat="false" ht="30" hidden="false" customHeight="true" outlineLevel="0" collapsed="false">
      <c r="A10" s="0" t="s">
        <v>161</v>
      </c>
      <c r="B10" s="0" t="s">
        <v>162</v>
      </c>
      <c r="C10" s="0" t="n">
        <v>150</v>
      </c>
      <c r="D10" s="0" t="n">
        <v>2353</v>
      </c>
      <c r="E10" s="14" t="n">
        <v>0.3529</v>
      </c>
      <c r="F10" s="14" t="n">
        <v>0.3529</v>
      </c>
      <c r="G10" s="14" t="n">
        <v>0</v>
      </c>
      <c r="H10" s="0" t="n">
        <v>30</v>
      </c>
      <c r="I10" s="0" t="n">
        <v>0</v>
      </c>
      <c r="J10" s="0" t="n">
        <v>15</v>
      </c>
      <c r="K10" s="0" t="n">
        <v>15</v>
      </c>
      <c r="L10" s="0" t="n">
        <v>73</v>
      </c>
    </row>
    <row r="11" customFormat="false" ht="30" hidden="false" customHeight="true" outlineLevel="0" collapsed="false">
      <c r="A11" s="0" t="s">
        <v>163</v>
      </c>
      <c r="B11" s="0" t="s">
        <v>164</v>
      </c>
      <c r="C11" s="0" t="n">
        <v>1000</v>
      </c>
      <c r="D11" s="0" t="n">
        <v>400</v>
      </c>
      <c r="E11" s="14" t="n">
        <v>0.4</v>
      </c>
      <c r="F11" s="14" t="n">
        <v>0.3768</v>
      </c>
      <c r="G11" s="14" t="n">
        <v>0.0232</v>
      </c>
      <c r="H11" s="0" t="n">
        <v>37</v>
      </c>
      <c r="I11" s="0" t="n">
        <v>2</v>
      </c>
      <c r="J11" s="0" t="n">
        <v>13</v>
      </c>
      <c r="K11" s="0" t="n">
        <v>26</v>
      </c>
      <c r="L11" s="0" t="s">
        <v>165</v>
      </c>
    </row>
    <row r="12" customFormat="false" ht="30" hidden="false" customHeight="true" outlineLevel="0" collapsed="false">
      <c r="A12" s="0" t="s">
        <v>166</v>
      </c>
      <c r="B12" s="0" t="s">
        <v>167</v>
      </c>
      <c r="C12" s="0" t="n">
        <v>118</v>
      </c>
      <c r="D12" s="0" t="n">
        <v>400</v>
      </c>
      <c r="E12" s="14" t="n">
        <v>0.0472</v>
      </c>
      <c r="F12" s="14" t="n">
        <v>0.0472</v>
      </c>
      <c r="G12" s="14" t="n">
        <v>0</v>
      </c>
      <c r="H12" s="0" t="n">
        <v>6</v>
      </c>
      <c r="I12" s="0" t="n">
        <v>0</v>
      </c>
      <c r="J12" s="0" t="n">
        <v>1</v>
      </c>
      <c r="K12" s="0" t="n">
        <v>5</v>
      </c>
      <c r="L12" s="0" t="s">
        <v>165</v>
      </c>
    </row>
    <row r="13" customFormat="false" ht="30" hidden="false" customHeight="true" outlineLevel="0" collapsed="false">
      <c r="A13" s="0" t="s">
        <v>168</v>
      </c>
      <c r="B13" s="0" t="s">
        <v>169</v>
      </c>
      <c r="C13" s="0" t="n">
        <v>118</v>
      </c>
      <c r="D13" s="0" t="n">
        <v>400</v>
      </c>
      <c r="E13" s="14" t="n">
        <v>0.0472</v>
      </c>
      <c r="F13" s="14" t="n">
        <v>0.0472</v>
      </c>
      <c r="G13" s="14" t="n">
        <v>0</v>
      </c>
      <c r="H13" s="0" t="n">
        <v>6</v>
      </c>
      <c r="I13" s="0" t="n">
        <v>0</v>
      </c>
      <c r="J13" s="0" t="n">
        <v>1</v>
      </c>
      <c r="K13" s="0" t="n">
        <v>5</v>
      </c>
      <c r="L13" s="0" t="s">
        <v>165</v>
      </c>
    </row>
    <row r="14" customFormat="false" ht="30" hidden="false" customHeight="true" outlineLevel="0" collapsed="false">
      <c r="A14" s="0" t="s">
        <v>170</v>
      </c>
      <c r="B14" s="0" t="s">
        <v>171</v>
      </c>
      <c r="C14" s="0" t="n">
        <v>1000</v>
      </c>
      <c r="D14" s="0" t="n">
        <v>118</v>
      </c>
      <c r="E14" s="14" t="n">
        <v>0.118</v>
      </c>
      <c r="F14" s="14" t="n">
        <v>0.118</v>
      </c>
      <c r="G14" s="14" t="n">
        <v>0</v>
      </c>
      <c r="H14" s="0" t="n">
        <v>13</v>
      </c>
      <c r="I14" s="0" t="n">
        <v>0</v>
      </c>
      <c r="J14" s="0" t="n">
        <v>0</v>
      </c>
      <c r="K14" s="0" t="n">
        <v>13</v>
      </c>
      <c r="L14" s="0" t="s">
        <v>165</v>
      </c>
    </row>
    <row r="15" customFormat="false" ht="30" hidden="false" customHeight="true" outlineLevel="0" collapsed="false">
      <c r="A15" s="0" t="s">
        <v>172</v>
      </c>
      <c r="B15" s="0" t="s">
        <v>173</v>
      </c>
      <c r="C15" s="0" t="n">
        <v>1000</v>
      </c>
      <c r="D15" s="0" t="n">
        <v>118</v>
      </c>
      <c r="E15" s="14" t="n">
        <v>0.118</v>
      </c>
      <c r="F15" s="14" t="n">
        <v>0.118</v>
      </c>
      <c r="G15" s="14" t="n">
        <v>0</v>
      </c>
      <c r="H15" s="0" t="n">
        <v>13</v>
      </c>
      <c r="I15" s="0" t="n">
        <v>0</v>
      </c>
      <c r="J15" s="0" t="n">
        <v>0</v>
      </c>
      <c r="K15" s="0" t="n">
        <v>13</v>
      </c>
      <c r="L15" s="0" t="s">
        <v>165</v>
      </c>
    </row>
    <row r="16" customFormat="false" ht="30" hidden="false" customHeight="true" outlineLevel="0" collapsed="false">
      <c r="A16" s="0" t="s">
        <v>174</v>
      </c>
      <c r="B16" s="0" t="s">
        <v>175</v>
      </c>
      <c r="C16" s="0" t="n">
        <v>1650</v>
      </c>
      <c r="D16" s="0" t="n">
        <v>530</v>
      </c>
      <c r="E16" s="14" t="n">
        <v>0.8745</v>
      </c>
      <c r="F16" s="14" t="n">
        <v>0</v>
      </c>
      <c r="G16" s="14" t="n">
        <v>0.8745</v>
      </c>
      <c r="H16" s="0" t="n">
        <v>0</v>
      </c>
      <c r="I16" s="0" t="n">
        <v>77</v>
      </c>
      <c r="J16" s="0" t="n">
        <v>60</v>
      </c>
      <c r="K16" s="0" t="n">
        <v>17</v>
      </c>
      <c r="L16" s="0" t="s">
        <v>165</v>
      </c>
    </row>
    <row r="17" customFormat="false" ht="30" hidden="false" customHeight="true" outlineLevel="0" collapsed="false">
      <c r="A17" s="0" t="s">
        <v>176</v>
      </c>
      <c r="B17" s="0" t="s">
        <v>177</v>
      </c>
      <c r="C17" s="0" t="n">
        <v>1650</v>
      </c>
      <c r="D17" s="0" t="n">
        <v>75</v>
      </c>
      <c r="E17" s="14" t="n">
        <v>0.1237</v>
      </c>
      <c r="F17" s="14" t="n">
        <v>0</v>
      </c>
      <c r="G17" s="14" t="n">
        <v>0.1237</v>
      </c>
      <c r="H17" s="0" t="n">
        <v>0</v>
      </c>
      <c r="I17" s="0" t="n">
        <v>11</v>
      </c>
      <c r="J17" s="0" t="n">
        <v>10</v>
      </c>
      <c r="K17" s="0" t="n">
        <v>1</v>
      </c>
      <c r="L17" s="0" t="s">
        <v>165</v>
      </c>
    </row>
    <row r="18" customFormat="false" ht="30" hidden="false" customHeight="true" outlineLevel="0" collapsed="false">
      <c r="A18" s="0" t="s">
        <v>178</v>
      </c>
      <c r="B18" s="0" t="s">
        <v>179</v>
      </c>
      <c r="C18" s="0" t="n">
        <v>530</v>
      </c>
      <c r="D18" s="0" t="n">
        <v>75</v>
      </c>
      <c r="E18" s="14" t="n">
        <v>0.0398</v>
      </c>
      <c r="F18" s="14" t="n">
        <v>0</v>
      </c>
      <c r="G18" s="14" t="n">
        <v>0.0398</v>
      </c>
      <c r="H18" s="0" t="n">
        <v>0</v>
      </c>
      <c r="I18" s="0" t="n">
        <v>4</v>
      </c>
      <c r="J18" s="0" t="n">
        <v>3</v>
      </c>
      <c r="K18" s="0" t="n">
        <v>1</v>
      </c>
      <c r="L18" s="0" t="s">
        <v>165</v>
      </c>
    </row>
    <row r="19" customFormat="false" ht="30" hidden="false" customHeight="true" outlineLevel="0" collapsed="false">
      <c r="A19" s="0" t="s">
        <v>180</v>
      </c>
      <c r="B19" s="0" t="s">
        <v>181</v>
      </c>
      <c r="C19" s="0" t="n">
        <v>530</v>
      </c>
      <c r="D19" s="0" t="n">
        <v>75</v>
      </c>
      <c r="E19" s="14" t="n">
        <v>0.0398</v>
      </c>
      <c r="F19" s="14" t="n">
        <v>0</v>
      </c>
      <c r="G19" s="14" t="n">
        <v>0.0398</v>
      </c>
      <c r="H19" s="0" t="n">
        <v>0</v>
      </c>
      <c r="I19" s="0" t="n">
        <v>4</v>
      </c>
      <c r="J19" s="0" t="n">
        <v>3</v>
      </c>
      <c r="K19" s="0" t="n">
        <v>1</v>
      </c>
      <c r="L19" s="0" t="s">
        <v>165</v>
      </c>
    </row>
    <row r="21" customFormat="false" ht="15" hidden="false" customHeight="false" outlineLevel="0" collapsed="false">
      <c r="A21" s="0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22.05" hidden="false" customHeight="false" outlineLevel="0" collapsed="false">
      <c r="A1" s="1" t="s">
        <v>183</v>
      </c>
    </row>
    <row r="2" customFormat="false" ht="15" hidden="false" customHeight="false" outlineLevel="0" collapsed="false">
      <c r="A2" s="0" t="s">
        <v>1</v>
      </c>
    </row>
    <row r="4" customFormat="false" ht="30" hidden="false" customHeight="true" outlineLevel="0" collapsed="false">
      <c r="A4" s="2" t="s">
        <v>184</v>
      </c>
      <c r="B4" s="2" t="s">
        <v>185</v>
      </c>
    </row>
    <row r="5" customFormat="false" ht="54.75" hidden="false" customHeight="true" outlineLevel="0" collapsed="false">
      <c r="A5" s="8" t="s">
        <v>186</v>
      </c>
      <c r="B5" s="8" t="s">
        <v>187</v>
      </c>
    </row>
    <row r="6" customFormat="false" ht="54.75" hidden="false" customHeight="true" outlineLevel="0" collapsed="false">
      <c r="A6" s="8" t="s">
        <v>188</v>
      </c>
      <c r="B6" s="8" t="s">
        <v>189</v>
      </c>
    </row>
    <row r="7" customFormat="false" ht="54.75" hidden="false" customHeight="true" outlineLevel="0" collapsed="false">
      <c r="A7" s="8" t="s">
        <v>190</v>
      </c>
      <c r="B7" s="8" t="s">
        <v>191</v>
      </c>
    </row>
    <row r="8" customFormat="false" ht="54.75" hidden="false" customHeight="true" outlineLevel="0" collapsed="false">
      <c r="A8" s="8" t="s">
        <v>192</v>
      </c>
      <c r="B8" s="8" t="s">
        <v>193</v>
      </c>
    </row>
    <row r="9" customFormat="false" ht="54.75" hidden="false" customHeight="true" outlineLevel="0" collapsed="false">
      <c r="A9" s="8" t="s">
        <v>194</v>
      </c>
      <c r="B9" s="8" t="s">
        <v>195</v>
      </c>
    </row>
    <row r="10" customFormat="false" ht="54.75" hidden="false" customHeight="true" outlineLevel="0" collapsed="false">
      <c r="A10" s="8" t="s">
        <v>196</v>
      </c>
      <c r="B10" s="8" t="s">
        <v>197</v>
      </c>
    </row>
    <row r="11" customFormat="false" ht="54.75" hidden="false" customHeight="true" outlineLevel="0" collapsed="false">
      <c r="A11" s="8" t="s">
        <v>198</v>
      </c>
      <c r="B11" s="8" t="s">
        <v>199</v>
      </c>
    </row>
    <row r="12" customFormat="false" ht="54.75" hidden="false" customHeight="true" outlineLevel="0" collapsed="false">
      <c r="A12" s="8" t="s">
        <v>200</v>
      </c>
      <c r="B12" s="8" t="s">
        <v>201</v>
      </c>
    </row>
    <row r="13" customFormat="false" ht="54.75" hidden="false" customHeight="true" outlineLevel="0" collapsed="false">
      <c r="A13" s="8" t="s">
        <v>202</v>
      </c>
      <c r="B13" s="8" t="s">
        <v>203</v>
      </c>
    </row>
    <row r="14" customFormat="false" ht="54.75" hidden="false" customHeight="true" outlineLevel="0" collapsed="false">
      <c r="A14" s="8" t="s">
        <v>204</v>
      </c>
      <c r="B14" s="8" t="s">
        <v>205</v>
      </c>
    </row>
    <row r="15" customFormat="false" ht="54.75" hidden="false" customHeight="true" outlineLevel="0" collapsed="false">
      <c r="A15" s="8" t="s">
        <v>206</v>
      </c>
      <c r="B15" s="8" t="s">
        <v>207</v>
      </c>
    </row>
    <row r="16" customFormat="false" ht="54.75" hidden="false" customHeight="true" outlineLevel="0" collapsed="false">
      <c r="A16" s="8" t="s">
        <v>208</v>
      </c>
      <c r="B16" s="8" t="s">
        <v>209</v>
      </c>
    </row>
    <row r="17" customFormat="false" ht="54.75" hidden="false" customHeight="true" outlineLevel="0" collapsed="false">
      <c r="A17" s="8" t="s">
        <v>210</v>
      </c>
      <c r="B17" s="8" t="s">
        <v>211</v>
      </c>
    </row>
    <row r="18" customFormat="false" ht="54.75" hidden="false" customHeight="true" outlineLevel="0" collapsed="false">
      <c r="A18" s="8" t="s">
        <v>212</v>
      </c>
      <c r="B18" s="8" t="s">
        <v>213</v>
      </c>
    </row>
    <row r="19" customFormat="false" ht="54.75" hidden="false" customHeight="true" outlineLevel="0" collapsed="false">
      <c r="A19" s="8" t="s">
        <v>214</v>
      </c>
      <c r="B19" s="8" t="s">
        <v>215</v>
      </c>
    </row>
    <row r="20" customFormat="false" ht="28.35" hidden="false" customHeight="false" outlineLevel="0" collapsed="false">
      <c r="A20" s="8" t="s">
        <v>216</v>
      </c>
      <c r="B20" s="8" t="s">
        <v>217</v>
      </c>
    </row>
    <row r="21" customFormat="false" ht="15" hidden="false" customHeight="false" outlineLevel="0" collapsed="false">
      <c r="A21" s="8" t="s">
        <v>218</v>
      </c>
      <c r="B21" s="8" t="s">
        <v>219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4" min="2" style="0" width="23"/>
  </cols>
  <sheetData>
    <row r="1" customFormat="false" ht="22.0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0" t="s">
        <v>1</v>
      </c>
    </row>
    <row r="4" customFormat="false" ht="30" hidden="false" customHeight="true" outlineLevel="0" collapsed="false">
      <c r="A4" s="2" t="s">
        <v>221</v>
      </c>
      <c r="B4" s="2" t="s">
        <v>222</v>
      </c>
      <c r="C4" s="2" t="s">
        <v>223</v>
      </c>
      <c r="D4" s="2" t="s">
        <v>224</v>
      </c>
    </row>
    <row r="5" customFormat="false" ht="33.75" hidden="false" customHeight="true" outlineLevel="0" collapsed="false">
      <c r="A5" s="0" t="s">
        <v>225</v>
      </c>
      <c r="B5" s="3" t="n">
        <f aca="false">ROUND(16.2*B10,2)</f>
        <v>5507.84</v>
      </c>
      <c r="C5" s="3" t="n">
        <f aca="false">Orcamento!F5</f>
        <v>6425.81</v>
      </c>
      <c r="D5" s="3" t="n">
        <f aca="false">C5-B5</f>
        <v>917.97</v>
      </c>
    </row>
    <row r="6" customFormat="false" ht="33.75" hidden="false" customHeight="true" outlineLevel="0" collapsed="false">
      <c r="A6" s="0" t="s">
        <v>226</v>
      </c>
      <c r="B6" s="3" t="n">
        <v>0</v>
      </c>
      <c r="C6" s="3" t="n">
        <f aca="false">Orcamento!F6</f>
        <v>713.98</v>
      </c>
      <c r="D6" s="3" t="n">
        <f aca="false">C6-B6</f>
        <v>713.98</v>
      </c>
    </row>
    <row r="7" customFormat="false" ht="33.75" hidden="false" customHeight="true" outlineLevel="0" collapsed="false">
      <c r="A7" s="0" t="s">
        <v>227</v>
      </c>
      <c r="B7" s="3" t="n">
        <f aca="false">ROUND(7*89.99,2)</f>
        <v>629.93</v>
      </c>
      <c r="C7" s="3" t="n">
        <f aca="false">SUM(Orcamento!F7:F8)</f>
        <v>1259.86</v>
      </c>
      <c r="D7" s="3" t="n">
        <f aca="false">C7-B7</f>
        <v>629.93</v>
      </c>
    </row>
    <row r="8" customFormat="false" ht="33.75" hidden="false" customHeight="true" outlineLevel="0" collapsed="false">
      <c r="A8" s="0" t="s">
        <v>228</v>
      </c>
      <c r="B8" s="3" t="n">
        <v>0</v>
      </c>
      <c r="C8" s="3" t="n">
        <f aca="false">SUM(Orcamento!F9:F12)</f>
        <v>1125</v>
      </c>
      <c r="D8" s="3" t="n">
        <f aca="false">C8-B8</f>
        <v>1125</v>
      </c>
    </row>
    <row r="9" customFormat="false" ht="33.75" hidden="false" customHeight="true" outlineLevel="0" collapsed="false">
      <c r="A9" s="0" t="s">
        <v>229</v>
      </c>
      <c r="B9" s="3" t="n">
        <f aca="false">SUM(B5:B8)</f>
        <v>6137.77</v>
      </c>
      <c r="C9" s="3" t="n">
        <f aca="false">SUM(C5:C8)</f>
        <v>9524.65</v>
      </c>
      <c r="D9" s="3" t="n">
        <f aca="false">C9-B9</f>
        <v>3386.88</v>
      </c>
    </row>
    <row r="10" customFormat="false" ht="33.75" hidden="false" customHeight="true" outlineLevel="0" collapsed="false">
      <c r="A10" s="0" t="s">
        <v>230</v>
      </c>
      <c r="B10" s="3" t="n">
        <v>339.99</v>
      </c>
      <c r="C10" s="3" t="n">
        <v>339.99</v>
      </c>
      <c r="D10" s="3" t="n">
        <f aca="false">C10-B10</f>
        <v>0</v>
      </c>
    </row>
    <row r="13" customFormat="false" ht="15" hidden="false" customHeight="false" outlineLevel="0" collapsed="false">
      <c r="A13" s="0" t="s">
        <v>231</v>
      </c>
    </row>
    <row r="14" customFormat="false" ht="15" hidden="false" customHeight="false" outlineLevel="0" collapsed="false">
      <c r="A14" s="0" t="s">
        <v>232</v>
      </c>
    </row>
    <row r="15" customFormat="false" ht="15" hidden="false" customHeight="false" outlineLevel="0" collapsed="false">
      <c r="A15" s="0" t="s">
        <v>233</v>
      </c>
    </row>
    <row r="16" customFormat="false" ht="15" hidden="false" customHeight="false" outlineLevel="0" collapsed="false">
      <c r="A16" s="0" t="s">
        <v>234</v>
      </c>
    </row>
    <row r="17" customFormat="false" ht="15" hidden="false" customHeight="false" outlineLevel="0" collapsed="false">
      <c r="A17" s="0" t="s">
        <v>235</v>
      </c>
    </row>
    <row r="18" customFormat="false" ht="15" hidden="false" customHeight="false" outlineLevel="0" collapsed="false">
      <c r="A18" s="0" t="s">
        <v>236</v>
      </c>
    </row>
    <row r="19" customFormat="false" ht="15" hidden="false" customHeight="false" outlineLevel="0" collapsed="false">
      <c r="A19" s="0" t="s">
        <v>237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22.05" hidden="false" customHeight="false" outlineLevel="0" collapsed="false">
      <c r="A1" s="1" t="s">
        <v>238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20</v>
      </c>
      <c r="B4" s="2" t="s">
        <v>239</v>
      </c>
      <c r="C4" s="2" t="s">
        <v>240</v>
      </c>
      <c r="D4" s="2" t="s">
        <v>241</v>
      </c>
      <c r="E4" s="2" t="s">
        <v>242</v>
      </c>
    </row>
    <row r="5" customFormat="false" ht="15" hidden="false" customHeight="false" outlineLevel="0" collapsed="false">
      <c r="A5" s="0" t="s">
        <v>243</v>
      </c>
      <c r="B5" s="12" t="n">
        <v>70</v>
      </c>
      <c r="C5" s="12" t="n">
        <f aca="false">Orcamento!D5</f>
        <v>63</v>
      </c>
      <c r="D5" s="12" t="n">
        <f aca="false">C5-B5</f>
        <v>-7</v>
      </c>
      <c r="E5" s="0" t="s">
        <v>244</v>
      </c>
    </row>
    <row r="6" customFormat="false" ht="15" hidden="false" customHeight="false" outlineLevel="0" collapsed="false">
      <c r="A6" s="0" t="s">
        <v>245</v>
      </c>
      <c r="B6" s="12" t="n">
        <v>7</v>
      </c>
      <c r="C6" s="12" t="n">
        <f aca="false">Orcamento!D6</f>
        <v>7</v>
      </c>
      <c r="D6" s="12" t="n">
        <f aca="false">C6-B6</f>
        <v>0</v>
      </c>
      <c r="E6" s="0" t="s">
        <v>246</v>
      </c>
    </row>
    <row r="7" customFormat="false" ht="15" hidden="false" customHeight="false" outlineLevel="0" collapsed="false">
      <c r="A7" s="0" t="s">
        <v>247</v>
      </c>
      <c r="B7" s="12" t="n">
        <v>1632</v>
      </c>
      <c r="C7" s="12" t="n">
        <f aca="false">Quantidades!B5</f>
        <v>1480</v>
      </c>
      <c r="D7" s="12" t="n">
        <f aca="false">C7-B7</f>
        <v>-152</v>
      </c>
      <c r="E7" s="0" t="s">
        <v>248</v>
      </c>
    </row>
    <row r="8" customFormat="false" ht="15" hidden="false" customHeight="false" outlineLevel="0" collapsed="false">
      <c r="A8" s="0" t="s">
        <v>249</v>
      </c>
      <c r="B8" s="12" t="n">
        <v>152</v>
      </c>
      <c r="C8" s="12" t="n">
        <f aca="false">Quantidades!B6</f>
        <v>152</v>
      </c>
      <c r="D8" s="12" t="n">
        <f aca="false">C8-B8</f>
        <v>0</v>
      </c>
    </row>
    <row r="9" customFormat="false" ht="15" hidden="false" customHeight="false" outlineLevel="0" collapsed="false">
      <c r="A9" s="0" t="s">
        <v>250</v>
      </c>
      <c r="B9" s="12" t="n">
        <v>4</v>
      </c>
      <c r="C9" s="12" t="n">
        <f aca="false">Orcamento!D12</f>
        <v>13</v>
      </c>
      <c r="D9" s="12" t="n">
        <f aca="false">C9-B9</f>
        <v>9</v>
      </c>
      <c r="E9" s="0" t="s">
        <v>251</v>
      </c>
    </row>
    <row r="10" customFormat="false" ht="15" hidden="false" customHeight="false" outlineLevel="0" collapsed="false">
      <c r="A10" s="0" t="s">
        <v>252</v>
      </c>
      <c r="B10" s="15" t="n">
        <v>325</v>
      </c>
      <c r="C10" s="15" t="n">
        <f aca="false">Orcamento!F9</f>
        <v>0</v>
      </c>
      <c r="D10" s="15" t="n">
        <f aca="false">C10-B10</f>
        <v>-325</v>
      </c>
      <c r="E10" s="0" t="s">
        <v>253</v>
      </c>
    </row>
    <row r="11" customFormat="false" ht="15" hidden="false" customHeight="false" outlineLevel="0" collapsed="false">
      <c r="A11" s="0" t="s">
        <v>254</v>
      </c>
      <c r="B11" s="15" t="n">
        <v>9978.63</v>
      </c>
      <c r="C11" s="15" t="n">
        <f aca="false">Resumo!B5</f>
        <v>9524.65</v>
      </c>
      <c r="D11" s="15" t="n">
        <f aca="false">C11-B11</f>
        <v>-453.98</v>
      </c>
    </row>
    <row r="12" customFormat="false" ht="15" hidden="false" customHeight="false" outlineLevel="0" collapsed="false">
      <c r="A12" s="0" t="s">
        <v>255</v>
      </c>
      <c r="B12" s="15" t="n">
        <v>0</v>
      </c>
      <c r="C12" s="15" t="n">
        <f aca="false">Resumo!B9</f>
        <v>667.6</v>
      </c>
      <c r="D12" s="15" t="n">
        <f aca="false">C12-B12</f>
        <v>667.6</v>
      </c>
      <c r="E12" s="0" t="s">
        <v>256</v>
      </c>
    </row>
    <row r="13" customFormat="false" ht="15" hidden="false" customHeight="false" outlineLevel="0" collapsed="false">
      <c r="A13" s="0" t="s">
        <v>257</v>
      </c>
      <c r="B13" s="15" t="n">
        <v>20023.85</v>
      </c>
      <c r="C13" s="15" t="n">
        <f aca="false">Resumo!B10</f>
        <v>20237.47</v>
      </c>
      <c r="D13" s="15" t="n">
        <f aca="false">C13-B13</f>
        <v>213.619999999999</v>
      </c>
    </row>
    <row r="14" customFormat="false" ht="15" hidden="false" customHeight="false" outlineLevel="0" collapsed="false">
      <c r="A14" s="0" t="s">
        <v>258</v>
      </c>
      <c r="B14" s="15" t="n">
        <v>23027.43</v>
      </c>
      <c r="C14" s="15" t="n">
        <f aca="false">Resumo!B13</f>
        <v>23273.0905</v>
      </c>
      <c r="D14" s="15" t="n">
        <f aca="false">C14-B14</f>
        <v>245.660499999998</v>
      </c>
      <c r="E14" s="0" t="s">
        <v>259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70"/>
  </cols>
  <sheetData>
    <row r="1" customFormat="false" ht="22.05" hidden="false" customHeight="false" outlineLevel="0" collapsed="false">
      <c r="A1" s="1" t="s">
        <v>260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261</v>
      </c>
      <c r="B4" s="2" t="s">
        <v>262</v>
      </c>
      <c r="C4" s="2" t="s">
        <v>263</v>
      </c>
      <c r="D4" s="2" t="s">
        <v>264</v>
      </c>
      <c r="E4" s="2" t="s">
        <v>265</v>
      </c>
      <c r="F4" s="2" t="s">
        <v>242</v>
      </c>
    </row>
    <row r="5" customFormat="false" ht="15" hidden="false" customHeight="false" outlineLevel="0" collapsed="false">
      <c r="A5" s="0" t="s">
        <v>266</v>
      </c>
      <c r="B5" s="0" t="s">
        <v>267</v>
      </c>
      <c r="C5" s="15" t="n">
        <f aca="false">Orcamento!F24</f>
        <v>450</v>
      </c>
      <c r="D5" s="0" t="s">
        <v>268</v>
      </c>
      <c r="E5" s="15" t="n">
        <v>199</v>
      </c>
      <c r="F5" s="0" t="s">
        <v>269</v>
      </c>
    </row>
    <row r="6" customFormat="false" ht="15" hidden="false" customHeight="false" outlineLevel="0" collapsed="false">
      <c r="A6" s="0" t="s">
        <v>270</v>
      </c>
      <c r="B6" s="0" t="s">
        <v>271</v>
      </c>
      <c r="C6" s="15" t="n">
        <f aca="false">Orcamento!F14+Orcamento!F15+Orcamento!F16</f>
        <v>1655.69</v>
      </c>
      <c r="D6" s="0" t="s">
        <v>272</v>
      </c>
      <c r="E6" s="15" t="n">
        <v>527</v>
      </c>
      <c r="F6" s="0" t="s">
        <v>273</v>
      </c>
    </row>
    <row r="7" customFormat="false" ht="15" hidden="false" customHeight="false" outlineLevel="0" collapsed="false">
      <c r="A7" s="0" t="s">
        <v>274</v>
      </c>
      <c r="B7" s="0" t="s">
        <v>275</v>
      </c>
      <c r="C7" s="15" t="n">
        <f aca="false">Orcamento!F28</f>
        <v>45</v>
      </c>
      <c r="D7" s="0" t="s">
        <v>276</v>
      </c>
      <c r="E7" s="15" t="n">
        <v>272.87</v>
      </c>
      <c r="F7" s="0" t="s">
        <v>277</v>
      </c>
    </row>
    <row r="8" customFormat="false" ht="15" hidden="false" customHeight="false" outlineLevel="0" collapsed="false">
      <c r="A8" s="0" t="s">
        <v>278</v>
      </c>
      <c r="B8" s="0" t="s">
        <v>279</v>
      </c>
      <c r="C8" s="15" t="n">
        <v>0</v>
      </c>
      <c r="D8" s="0" t="s">
        <v>280</v>
      </c>
      <c r="E8" s="15" t="n">
        <v>36.75</v>
      </c>
      <c r="F8" s="0" t="s">
        <v>281</v>
      </c>
    </row>
    <row r="9" customFormat="false" ht="15" hidden="false" customHeight="false" outlineLevel="0" collapsed="false">
      <c r="A9" s="0" t="s">
        <v>282</v>
      </c>
      <c r="B9" s="0" t="s">
        <v>283</v>
      </c>
      <c r="C9" s="15" t="n">
        <f aca="false">Orcamento!F9</f>
        <v>0</v>
      </c>
      <c r="D9" s="0" t="s">
        <v>284</v>
      </c>
      <c r="E9" s="15" t="n">
        <v>325</v>
      </c>
      <c r="F9" s="0" t="s">
        <v>285</v>
      </c>
    </row>
    <row r="10" customFormat="false" ht="15" hidden="false" customHeight="false" outlineLevel="0" collapsed="false">
      <c r="A10" s="0" t="s">
        <v>286</v>
      </c>
      <c r="B10" s="0" t="s">
        <v>287</v>
      </c>
      <c r="C10" s="15" t="n">
        <f aca="false">Orcamento!F22+Orcamento!F23</f>
        <v>1818.3</v>
      </c>
      <c r="D10" s="0" t="s">
        <v>165</v>
      </c>
      <c r="E10" s="15" t="n">
        <v>0</v>
      </c>
      <c r="F10" s="0" t="s">
        <v>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2026-10-25T21:37:16Z</dcterms:created>
  <dc:creator>openpyxl</dc:creator>
  <dc:description/>
  <dc:language>en-US</dc:language>
  <cp:lastModifiedBy/>
  <dcterms:modified xsi:type="dcterms:W3CDTF">2026-10-25T21:37:16Z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